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u\AppData\Roaming\Microsoft\Windows\Network Shortcuts\"/>
    </mc:Choice>
  </mc:AlternateContent>
  <xr:revisionPtr revIDLastSave="0" documentId="8_{A681F992-F7A2-4606-B7E1-385A06DAC897}" xr6:coauthVersionLast="47" xr6:coauthVersionMax="47" xr10:uidLastSave="{00000000-0000-0000-0000-000000000000}"/>
  <bookViews>
    <workbookView xWindow="-108" yWindow="-108" windowWidth="23256" windowHeight="12456" activeTab="1" xr2:uid="{9E5BB5B2-9629-4996-A95B-567686560C6C}"/>
  </bookViews>
  <sheets>
    <sheet name="help_desk_tickets" sheetId="1" r:id="rId1"/>
    <sheet name="summary Dasboard" sheetId="3" r:id="rId2"/>
    <sheet name="Data &amp;Calculations" sheetId="4" r:id="rId3"/>
    <sheet name="Detailed Analysis" sheetId="2" r:id="rId4"/>
    <sheet name="Recommendations" sheetId="6" r:id="rId5"/>
  </sheets>
  <calcPr calcId="191029"/>
  <pivotCaches>
    <pivotCache cacheId="44" r:id="rId6"/>
  </pivotCaches>
</workbook>
</file>

<file path=xl/calcChain.xml><?xml version="1.0" encoding="utf-8"?>
<calcChain xmlns="http://schemas.openxmlformats.org/spreadsheetml/2006/main">
  <c r="E141" i="4" l="1"/>
  <c r="H2" i="1"/>
  <c r="E2" i="4" s="1"/>
  <c r="H3" i="1"/>
  <c r="E3" i="4" s="1"/>
  <c r="H4" i="1"/>
  <c r="E4" i="4" s="1"/>
  <c r="H5" i="1"/>
  <c r="E5" i="4" s="1"/>
  <c r="H6" i="1"/>
  <c r="E6" i="4" s="1"/>
  <c r="H7" i="1"/>
  <c r="K7" i="1" s="1"/>
  <c r="H8" i="1"/>
  <c r="K8" i="1" s="1"/>
  <c r="H9" i="1"/>
  <c r="K9" i="1" s="1"/>
  <c r="H10" i="1"/>
  <c r="E10" i="4" s="1"/>
  <c r="H11" i="1"/>
  <c r="E11" i="4" s="1"/>
  <c r="H12" i="1"/>
  <c r="E12" i="4" s="1"/>
  <c r="H13" i="1"/>
  <c r="E13" i="4" s="1"/>
  <c r="H14" i="1"/>
  <c r="E14" i="4" s="1"/>
  <c r="H15" i="1"/>
  <c r="K15" i="1" s="1"/>
  <c r="H16" i="1"/>
  <c r="K16" i="1" s="1"/>
  <c r="H17" i="1"/>
  <c r="K17" i="1" s="1"/>
  <c r="H18" i="1"/>
  <c r="E18" i="4" s="1"/>
  <c r="H19" i="1"/>
  <c r="E19" i="4" s="1"/>
  <c r="H20" i="1"/>
  <c r="E20" i="4" s="1"/>
  <c r="H21" i="1"/>
  <c r="E21" i="4" s="1"/>
  <c r="H22" i="1"/>
  <c r="E22" i="4" s="1"/>
  <c r="H23" i="1"/>
  <c r="E23" i="4" s="1"/>
  <c r="H24" i="1"/>
  <c r="K24" i="1" s="1"/>
  <c r="H25" i="1"/>
  <c r="K25" i="1" s="1"/>
  <c r="H26" i="1"/>
  <c r="E26" i="4" s="1"/>
  <c r="H27" i="1"/>
  <c r="E27" i="4" s="1"/>
  <c r="H28" i="1"/>
  <c r="E28" i="4" s="1"/>
  <c r="H29" i="1"/>
  <c r="E29" i="4" s="1"/>
  <c r="H30" i="1"/>
  <c r="K30" i="1" s="1"/>
  <c r="H31" i="1"/>
  <c r="K31" i="1" s="1"/>
  <c r="H32" i="1"/>
  <c r="E32" i="4" s="1"/>
  <c r="H33" i="1"/>
  <c r="K33" i="1" s="1"/>
  <c r="H34" i="1"/>
  <c r="E34" i="4" s="1"/>
  <c r="H35" i="1"/>
  <c r="E35" i="4" s="1"/>
  <c r="H36" i="1"/>
  <c r="E36" i="4" s="1"/>
  <c r="H37" i="1"/>
  <c r="E37" i="4" s="1"/>
  <c r="H38" i="1"/>
  <c r="E38" i="4" s="1"/>
  <c r="H39" i="1"/>
  <c r="K39" i="1" s="1"/>
  <c r="H40" i="1"/>
  <c r="K40" i="1" s="1"/>
  <c r="H41" i="1"/>
  <c r="K41" i="1" s="1"/>
  <c r="H42" i="1"/>
  <c r="E42" i="4" s="1"/>
  <c r="H43" i="1"/>
  <c r="E43" i="4" s="1"/>
  <c r="H44" i="1"/>
  <c r="E44" i="4" s="1"/>
  <c r="H45" i="1"/>
  <c r="E45" i="4" s="1"/>
  <c r="H46" i="1"/>
  <c r="E46" i="4" s="1"/>
  <c r="H47" i="1"/>
  <c r="E47" i="4" s="1"/>
  <c r="H48" i="1"/>
  <c r="K48" i="1" s="1"/>
  <c r="H49" i="1"/>
  <c r="K49" i="1" s="1"/>
  <c r="H50" i="1"/>
  <c r="E50" i="4" s="1"/>
  <c r="H51" i="1"/>
  <c r="E51" i="4" s="1"/>
  <c r="H52" i="1"/>
  <c r="E52" i="4" s="1"/>
  <c r="H53" i="1"/>
  <c r="E53" i="4" s="1"/>
  <c r="H54" i="1"/>
  <c r="E54" i="4" s="1"/>
  <c r="H55" i="1"/>
  <c r="E55" i="4" s="1"/>
  <c r="H56" i="1"/>
  <c r="K56" i="1" s="1"/>
  <c r="H57" i="1"/>
  <c r="K57" i="1" s="1"/>
  <c r="H58" i="1"/>
  <c r="E58" i="4" s="1"/>
  <c r="H59" i="1"/>
  <c r="E59" i="4" s="1"/>
  <c r="H60" i="1"/>
  <c r="E60" i="4" s="1"/>
  <c r="H61" i="1"/>
  <c r="E61" i="4" s="1"/>
  <c r="H62" i="1"/>
  <c r="E62" i="4" s="1"/>
  <c r="H63" i="1"/>
  <c r="K63" i="1" s="1"/>
  <c r="H64" i="1"/>
  <c r="E64" i="4" s="1"/>
  <c r="H65" i="1"/>
  <c r="K65" i="1" s="1"/>
  <c r="H66" i="1"/>
  <c r="E66" i="4" s="1"/>
  <c r="H67" i="1"/>
  <c r="E67" i="4" s="1"/>
  <c r="H68" i="1"/>
  <c r="E68" i="4" s="1"/>
  <c r="H69" i="1"/>
  <c r="E69" i="4" s="1"/>
  <c r="H70" i="1"/>
  <c r="E70" i="4" s="1"/>
  <c r="H71" i="1"/>
  <c r="E71" i="4" s="1"/>
  <c r="H72" i="1"/>
  <c r="E72" i="4" s="1"/>
  <c r="H73" i="1"/>
  <c r="K73" i="1" s="1"/>
  <c r="H74" i="1"/>
  <c r="E74" i="4" s="1"/>
  <c r="H75" i="1"/>
  <c r="E75" i="4" s="1"/>
  <c r="H76" i="1"/>
  <c r="E76" i="4" s="1"/>
  <c r="H77" i="1"/>
  <c r="E77" i="4" s="1"/>
  <c r="H78" i="1"/>
  <c r="K78" i="1" s="1"/>
  <c r="H79" i="1"/>
  <c r="E79" i="4" s="1"/>
  <c r="H80" i="1"/>
  <c r="E80" i="4" s="1"/>
  <c r="H81" i="1"/>
  <c r="K81" i="1" s="1"/>
  <c r="H82" i="1"/>
  <c r="E82" i="4" s="1"/>
  <c r="H83" i="1"/>
  <c r="E83" i="4" s="1"/>
  <c r="H84" i="1"/>
  <c r="E84" i="4" s="1"/>
  <c r="H85" i="1"/>
  <c r="E85" i="4" s="1"/>
  <c r="H86" i="1"/>
  <c r="K86" i="1" s="1"/>
  <c r="H87" i="1"/>
  <c r="K87" i="1" s="1"/>
  <c r="H88" i="1"/>
  <c r="K88" i="1" s="1"/>
  <c r="H89" i="1"/>
  <c r="K89" i="1" s="1"/>
  <c r="H90" i="1"/>
  <c r="E90" i="4" s="1"/>
  <c r="H91" i="1"/>
  <c r="E91" i="4" s="1"/>
  <c r="H92" i="1"/>
  <c r="E92" i="4" s="1"/>
  <c r="H93" i="1"/>
  <c r="E93" i="4" s="1"/>
  <c r="H94" i="1"/>
  <c r="E94" i="4" s="1"/>
  <c r="H95" i="1"/>
  <c r="K95" i="1" s="1"/>
  <c r="H96" i="1"/>
  <c r="E96" i="4" s="1"/>
  <c r="H97" i="1"/>
  <c r="E97" i="4" s="1"/>
  <c r="H98" i="1"/>
  <c r="E98" i="4" s="1"/>
  <c r="H99" i="1"/>
  <c r="E99" i="4" s="1"/>
  <c r="H100" i="1"/>
  <c r="E100" i="4" s="1"/>
  <c r="H101" i="1"/>
  <c r="E101" i="4" s="1"/>
  <c r="H102" i="1"/>
  <c r="K102" i="1" s="1"/>
  <c r="H103" i="1"/>
  <c r="K103" i="1" s="1"/>
  <c r="H104" i="1"/>
  <c r="E104" i="4" s="1"/>
  <c r="H105" i="1"/>
  <c r="E105" i="4" s="1"/>
  <c r="H106" i="1"/>
  <c r="E106" i="4" s="1"/>
  <c r="H107" i="1"/>
  <c r="E107" i="4" s="1"/>
  <c r="H108" i="1"/>
  <c r="E108" i="4" s="1"/>
  <c r="H109" i="1"/>
  <c r="K109" i="1" s="1"/>
  <c r="H110" i="1"/>
  <c r="E110" i="4" s="1"/>
  <c r="H111" i="1"/>
  <c r="K111" i="1" s="1"/>
  <c r="H112" i="1"/>
  <c r="E112" i="4" s="1"/>
  <c r="H113" i="1"/>
  <c r="K113" i="1" s="1"/>
  <c r="H114" i="1"/>
  <c r="E114" i="4" s="1"/>
  <c r="H115" i="1"/>
  <c r="E115" i="4" s="1"/>
  <c r="H116" i="1"/>
  <c r="E116" i="4" s="1"/>
  <c r="H117" i="1"/>
  <c r="K117" i="1" s="1"/>
  <c r="H118" i="1"/>
  <c r="E118" i="4" s="1"/>
  <c r="H119" i="1"/>
  <c r="K119" i="1" s="1"/>
  <c r="H120" i="1"/>
  <c r="E120" i="4" s="1"/>
  <c r="H121" i="1"/>
  <c r="E121" i="4" s="1"/>
  <c r="H122" i="1"/>
  <c r="E122" i="4" s="1"/>
  <c r="H123" i="1"/>
  <c r="K123" i="1" s="1"/>
  <c r="H124" i="1"/>
  <c r="E124" i="4" s="1"/>
  <c r="H125" i="1"/>
  <c r="E125" i="4" s="1"/>
  <c r="H126" i="1"/>
  <c r="E126" i="4" s="1"/>
  <c r="H127" i="1"/>
  <c r="K127" i="1" s="1"/>
  <c r="H128" i="1"/>
  <c r="K128" i="1" s="1"/>
  <c r="H129" i="1"/>
  <c r="E129" i="4" s="1"/>
  <c r="H130" i="1"/>
  <c r="E130" i="4" s="1"/>
  <c r="H131" i="1"/>
  <c r="E131" i="4" s="1"/>
  <c r="H132" i="1"/>
  <c r="E132" i="4" s="1"/>
  <c r="H133" i="1"/>
  <c r="E133" i="4" s="1"/>
  <c r="H134" i="1"/>
  <c r="K134" i="1" s="1"/>
  <c r="H135" i="1"/>
  <c r="K135" i="1" s="1"/>
  <c r="H136" i="1"/>
  <c r="K136" i="1" s="1"/>
  <c r="H137" i="1"/>
  <c r="E137" i="4" s="1"/>
  <c r="H138" i="1"/>
  <c r="E138" i="4" s="1"/>
  <c r="H139" i="1"/>
  <c r="E139" i="4" s="1"/>
  <c r="H140" i="1"/>
  <c r="E140" i="4" s="1"/>
  <c r="H141" i="1"/>
  <c r="K141" i="1" s="1"/>
  <c r="H142" i="1"/>
  <c r="E142" i="4" s="1"/>
  <c r="H143" i="1"/>
  <c r="K143" i="1" s="1"/>
  <c r="H144" i="1"/>
  <c r="E144" i="4" s="1"/>
  <c r="H145" i="1"/>
  <c r="K145" i="1" s="1"/>
  <c r="H146" i="1"/>
  <c r="E146" i="4" s="1"/>
  <c r="H147" i="1"/>
  <c r="K147" i="1" s="1"/>
  <c r="H148" i="1"/>
  <c r="E148" i="4" s="1"/>
  <c r="H149" i="1"/>
  <c r="K149" i="1" s="1"/>
  <c r="H150" i="1"/>
  <c r="E150" i="4" s="1"/>
  <c r="H151" i="1"/>
  <c r="K151" i="1" s="1"/>
  <c r="D151" i="4"/>
  <c r="C151" i="4"/>
  <c r="B151" i="4"/>
  <c r="D150" i="4"/>
  <c r="C150" i="4"/>
  <c r="B150" i="4"/>
  <c r="D149" i="4"/>
  <c r="C149" i="4"/>
  <c r="B149" i="4"/>
  <c r="D148" i="4"/>
  <c r="C148" i="4"/>
  <c r="B148" i="4"/>
  <c r="D147" i="4"/>
  <c r="C147" i="4"/>
  <c r="B147" i="4"/>
  <c r="D146" i="4"/>
  <c r="C146" i="4"/>
  <c r="B146" i="4"/>
  <c r="D145" i="4"/>
  <c r="C145" i="4"/>
  <c r="B145" i="4"/>
  <c r="D144" i="4"/>
  <c r="C144" i="4"/>
  <c r="B144" i="4"/>
  <c r="D143" i="4"/>
  <c r="C143" i="4"/>
  <c r="B143" i="4"/>
  <c r="D142" i="4"/>
  <c r="C142" i="4"/>
  <c r="B142" i="4"/>
  <c r="D141" i="4"/>
  <c r="C141" i="4"/>
  <c r="B141" i="4"/>
  <c r="D140" i="4"/>
  <c r="C140" i="4"/>
  <c r="B140" i="4"/>
  <c r="D139" i="4"/>
  <c r="C139" i="4"/>
  <c r="B139" i="4"/>
  <c r="D138" i="4"/>
  <c r="C138" i="4"/>
  <c r="B138" i="4"/>
  <c r="D137" i="4"/>
  <c r="C137" i="4"/>
  <c r="B137" i="4"/>
  <c r="D136" i="4"/>
  <c r="C136" i="4"/>
  <c r="B136" i="4"/>
  <c r="D135" i="4"/>
  <c r="C135" i="4"/>
  <c r="B135" i="4"/>
  <c r="D134" i="4"/>
  <c r="C134" i="4"/>
  <c r="B134" i="4"/>
  <c r="D133" i="4"/>
  <c r="C133" i="4"/>
  <c r="B133" i="4"/>
  <c r="D132" i="4"/>
  <c r="C132" i="4"/>
  <c r="B132" i="4"/>
  <c r="D131" i="4"/>
  <c r="C131" i="4"/>
  <c r="B131" i="4"/>
  <c r="D130" i="4"/>
  <c r="C130" i="4"/>
  <c r="B130" i="4"/>
  <c r="D129" i="4"/>
  <c r="C129" i="4"/>
  <c r="B129" i="4"/>
  <c r="D128" i="4"/>
  <c r="C128" i="4"/>
  <c r="B128" i="4"/>
  <c r="D127" i="4"/>
  <c r="C127" i="4"/>
  <c r="B127" i="4"/>
  <c r="D126" i="4"/>
  <c r="C126" i="4"/>
  <c r="B126" i="4"/>
  <c r="D125" i="4"/>
  <c r="C125" i="4"/>
  <c r="B125" i="4"/>
  <c r="D124" i="4"/>
  <c r="C124" i="4"/>
  <c r="B124" i="4"/>
  <c r="D123" i="4"/>
  <c r="C123" i="4"/>
  <c r="B123" i="4"/>
  <c r="D122" i="4"/>
  <c r="C122" i="4"/>
  <c r="B122" i="4"/>
  <c r="D121" i="4"/>
  <c r="C121" i="4"/>
  <c r="B121" i="4"/>
  <c r="D120" i="4"/>
  <c r="C120" i="4"/>
  <c r="B120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D114" i="4"/>
  <c r="C114" i="4"/>
  <c r="B114" i="4"/>
  <c r="D113" i="4"/>
  <c r="C113" i="4"/>
  <c r="B113" i="4"/>
  <c r="D112" i="4"/>
  <c r="C112" i="4"/>
  <c r="B112" i="4"/>
  <c r="D111" i="4"/>
  <c r="C111" i="4"/>
  <c r="B111" i="4"/>
  <c r="D110" i="4"/>
  <c r="C110" i="4"/>
  <c r="B110" i="4"/>
  <c r="D109" i="4"/>
  <c r="C109" i="4"/>
  <c r="B109" i="4"/>
  <c r="D108" i="4"/>
  <c r="C108" i="4"/>
  <c r="B108" i="4"/>
  <c r="D107" i="4"/>
  <c r="C107" i="4"/>
  <c r="B107" i="4"/>
  <c r="D106" i="4"/>
  <c r="C106" i="4"/>
  <c r="B106" i="4"/>
  <c r="D105" i="4"/>
  <c r="C105" i="4"/>
  <c r="B105" i="4"/>
  <c r="D104" i="4"/>
  <c r="C104" i="4"/>
  <c r="B104" i="4"/>
  <c r="D103" i="4"/>
  <c r="C103" i="4"/>
  <c r="B103" i="4"/>
  <c r="D102" i="4"/>
  <c r="C102" i="4"/>
  <c r="B102" i="4"/>
  <c r="D101" i="4"/>
  <c r="C101" i="4"/>
  <c r="B101" i="4"/>
  <c r="D100" i="4"/>
  <c r="C100" i="4"/>
  <c r="B100" i="4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I25" i="1"/>
  <c r="J25" i="1"/>
  <c r="I26" i="1"/>
  <c r="J26" i="1"/>
  <c r="K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K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K55" i="1"/>
  <c r="I55" i="1"/>
  <c r="J55" i="1"/>
  <c r="I56" i="1"/>
  <c r="J56" i="1"/>
  <c r="I57" i="1"/>
  <c r="J57" i="1"/>
  <c r="I58" i="1"/>
  <c r="J58" i="1"/>
  <c r="K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K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K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K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K106" i="1"/>
  <c r="I107" i="1"/>
  <c r="J107" i="1"/>
  <c r="K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K114" i="1"/>
  <c r="I115" i="1"/>
  <c r="J115" i="1"/>
  <c r="K115" i="1"/>
  <c r="I116" i="1"/>
  <c r="J116" i="1"/>
  <c r="K116" i="1"/>
  <c r="I117" i="1"/>
  <c r="J117" i="1"/>
  <c r="I118" i="1"/>
  <c r="J118" i="1"/>
  <c r="I119" i="1"/>
  <c r="J119" i="1"/>
  <c r="I120" i="1"/>
  <c r="J120" i="1"/>
  <c r="I121" i="1"/>
  <c r="J121" i="1"/>
  <c r="K121" i="1"/>
  <c r="I122" i="1"/>
  <c r="J122" i="1"/>
  <c r="K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K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K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K146" i="1"/>
  <c r="I147" i="1"/>
  <c r="J147" i="1"/>
  <c r="I148" i="1"/>
  <c r="J148" i="1"/>
  <c r="I149" i="1"/>
  <c r="J149" i="1"/>
  <c r="I150" i="1"/>
  <c r="J150" i="1"/>
  <c r="I151" i="1"/>
  <c r="J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K2" i="1"/>
  <c r="K10" i="1"/>
  <c r="K140" i="1" l="1"/>
  <c r="K100" i="1"/>
  <c r="E56" i="4"/>
  <c r="E8" i="4"/>
  <c r="E33" i="4"/>
  <c r="E128" i="4"/>
  <c r="E73" i="4"/>
  <c r="E25" i="4"/>
  <c r="E48" i="4"/>
  <c r="E136" i="4"/>
  <c r="K23" i="1"/>
  <c r="E113" i="4"/>
  <c r="E49" i="4"/>
  <c r="E89" i="4"/>
  <c r="E9" i="4"/>
  <c r="K142" i="1"/>
  <c r="K99" i="1"/>
  <c r="E109" i="4"/>
  <c r="E88" i="4"/>
  <c r="E65" i="4"/>
  <c r="E24" i="4"/>
  <c r="K70" i="1"/>
  <c r="K132" i="1"/>
  <c r="K118" i="1"/>
  <c r="K46" i="1"/>
  <c r="E149" i="4"/>
  <c r="E41" i="4"/>
  <c r="K110" i="1"/>
  <c r="E117" i="4"/>
  <c r="K148" i="1"/>
  <c r="K131" i="1"/>
  <c r="K124" i="1"/>
  <c r="K108" i="1"/>
  <c r="E145" i="4"/>
  <c r="E81" i="4"/>
  <c r="E40" i="4"/>
  <c r="E17" i="4"/>
  <c r="K150" i="1"/>
  <c r="E57" i="4"/>
  <c r="E16" i="4"/>
  <c r="K139" i="1"/>
  <c r="K71" i="1"/>
  <c r="E147" i="4"/>
  <c r="E123" i="4"/>
  <c r="K47" i="1"/>
  <c r="E151" i="4"/>
  <c r="E143" i="4"/>
  <c r="E135" i="4"/>
  <c r="E127" i="4"/>
  <c r="E119" i="4"/>
  <c r="E111" i="4"/>
  <c r="E103" i="4"/>
  <c r="E95" i="4"/>
  <c r="E87" i="4"/>
  <c r="E63" i="4"/>
  <c r="E39" i="4"/>
  <c r="E31" i="4"/>
  <c r="E15" i="4"/>
  <c r="E7" i="4"/>
  <c r="E134" i="4"/>
  <c r="E102" i="4"/>
  <c r="E86" i="4"/>
  <c r="E78" i="4"/>
  <c r="E30" i="4"/>
  <c r="K104" i="1"/>
  <c r="K101" i="1"/>
  <c r="K79" i="1"/>
  <c r="K62" i="1"/>
  <c r="K125" i="1"/>
  <c r="K133" i="1"/>
  <c r="K144" i="1"/>
  <c r="K129" i="1"/>
  <c r="K112" i="1"/>
  <c r="K97" i="1"/>
  <c r="K72" i="1"/>
  <c r="K137" i="1"/>
  <c r="K120" i="1"/>
  <c r="K105" i="1"/>
  <c r="K94" i="1"/>
  <c r="K54" i="1"/>
  <c r="K38" i="1"/>
  <c r="K126" i="1"/>
  <c r="K96" i="1"/>
  <c r="K19" i="1"/>
  <c r="K3" i="1"/>
  <c r="K11" i="1"/>
  <c r="K92" i="1"/>
  <c r="K76" i="1"/>
  <c r="K60" i="1"/>
  <c r="K44" i="1"/>
  <c r="K28" i="1"/>
  <c r="K21" i="1"/>
  <c r="K5" i="1"/>
  <c r="K59" i="1"/>
  <c r="K43" i="1"/>
  <c r="K27" i="1"/>
  <c r="K93" i="1"/>
  <c r="K77" i="1"/>
  <c r="K29" i="1"/>
  <c r="K13" i="1"/>
  <c r="K91" i="1"/>
  <c r="K75" i="1"/>
  <c r="K61" i="1"/>
  <c r="K45" i="1"/>
  <c r="K22" i="1"/>
  <c r="K14" i="1"/>
  <c r="K6" i="1"/>
  <c r="K83" i="1"/>
  <c r="K80" i="1"/>
  <c r="K67" i="1"/>
  <c r="K64" i="1"/>
  <c r="K51" i="1"/>
  <c r="K35" i="1"/>
  <c r="K32" i="1"/>
  <c r="K85" i="1"/>
  <c r="K82" i="1"/>
  <c r="K69" i="1"/>
  <c r="K66" i="1"/>
  <c r="K53" i="1"/>
  <c r="K50" i="1"/>
  <c r="K37" i="1"/>
  <c r="K34" i="1"/>
  <c r="K20" i="1"/>
  <c r="K12" i="1"/>
  <c r="K4" i="1"/>
  <c r="K84" i="1"/>
  <c r="K68" i="1"/>
  <c r="K52" i="1"/>
  <c r="K36" i="1"/>
  <c r="K18" i="1"/>
</calcChain>
</file>

<file path=xl/sharedStrings.xml><?xml version="1.0" encoding="utf-8"?>
<sst xmlns="http://schemas.openxmlformats.org/spreadsheetml/2006/main" count="998" uniqueCount="377">
  <si>
    <t>ticket_id</t>
  </si>
  <si>
    <t>submission_date</t>
  </si>
  <si>
    <t>resolution_date</t>
  </si>
  <si>
    <t>category</t>
  </si>
  <si>
    <t>assigned_analyst</t>
  </si>
  <si>
    <t>description</t>
  </si>
  <si>
    <t>priority</t>
  </si>
  <si>
    <t>TICKET-1000</t>
  </si>
  <si>
    <t>Other</t>
  </si>
  <si>
    <t>Toni Wiley</t>
  </si>
  <si>
    <t>Dream part subject until full. Brother century suddenly above. Six eight benefit animal move best.</t>
  </si>
  <si>
    <t>High</t>
  </si>
  <si>
    <t>TICKET-1001</t>
  </si>
  <si>
    <t>Software</t>
  </si>
  <si>
    <t>Tanya Jones</t>
  </si>
  <si>
    <t>Application X is crashing every time I open it. Lead how phone also score player later blue.</t>
  </si>
  <si>
    <t>Medium</t>
  </si>
  <si>
    <t>TICKET-1002</t>
  </si>
  <si>
    <t>Sheila Ball</t>
  </si>
  <si>
    <t>Black attack cold would page. Reality she war a chance. Physical hour Mr item red agreement for.</t>
  </si>
  <si>
    <t>TICKET-1003</t>
  </si>
  <si>
    <t>Hardware</t>
  </si>
  <si>
    <t>Cynthia Rich</t>
  </si>
  <si>
    <t>My laptop's keyboard isn't working properly, some keys are stuck. Tree culture above effort more national whether.</t>
  </si>
  <si>
    <t>TICKET-1004</t>
  </si>
  <si>
    <t>Janice Burns</t>
  </si>
  <si>
    <t>Application X is crashing every time I open it. Order wrong fight foreign bad house pick.</t>
  </si>
  <si>
    <t>TICKET-1005</t>
  </si>
  <si>
    <t>Application X is crashing every time I open it. Sport should network realize relate very voice.</t>
  </si>
  <si>
    <t>Low</t>
  </si>
  <si>
    <t>TICKET-1006</t>
  </si>
  <si>
    <t>Access</t>
  </si>
  <si>
    <t>Autumn Ryan</t>
  </si>
  <si>
    <t>I'm locked out of my account and can't reset my password. If rather year suffer wrong.</t>
  </si>
  <si>
    <t>TICKET-1007</t>
  </si>
  <si>
    <t>Amanda White</t>
  </si>
  <si>
    <t>Application X is crashing every time I open it. Here bill leg region training. Grow new may.</t>
  </si>
  <si>
    <t>TICKET-1008</t>
  </si>
  <si>
    <t>My laptop's keyboard isn't working properly, some keys are stuck. Common maintain theory involve ok detail.</t>
  </si>
  <si>
    <t>TICKET-1009</t>
  </si>
  <si>
    <t>Application X is crashing every time I open it. Responsibility again recently traditional word.</t>
  </si>
  <si>
    <t>TICKET-1010</t>
  </si>
  <si>
    <t>Adam Stone</t>
  </si>
  <si>
    <t>Application X is crashing every time I open it. Structure this woman born.</t>
  </si>
  <si>
    <t>TICKET-1011</t>
  </si>
  <si>
    <t>Network</t>
  </si>
  <si>
    <t>Natasha Harris</t>
  </si>
  <si>
    <t>Can't connect to the Wi-Fi. It's showing 'No internet access'. Maintain without college strong few not week.</t>
  </si>
  <si>
    <t>TICKET-1012</t>
  </si>
  <si>
    <t>Can't connect to the Wi-Fi. It's showing 'No internet access'. Official human task door century energy Mr.</t>
  </si>
  <si>
    <t>TICKET-1013</t>
  </si>
  <si>
    <t>Application X is crashing every time I open it. Spring operation performance glass choice kind.</t>
  </si>
  <si>
    <t>TICKET-1014</t>
  </si>
  <si>
    <t>Application X is crashing every time I open it. Summer yard maintain fire ask eight.</t>
  </si>
  <si>
    <t>TICKET-1015</t>
  </si>
  <si>
    <t>Marvin West</t>
  </si>
  <si>
    <t>Application X is crashing every time I open it. Least check between event. Can brother two form.</t>
  </si>
  <si>
    <t>TICKET-1016</t>
  </si>
  <si>
    <t>Application X is crashing every time I open it. Resource in affect charge customer accept dream.</t>
  </si>
  <si>
    <t>TICKET-1017</t>
  </si>
  <si>
    <t>Security</t>
  </si>
  <si>
    <t>Thought national word picture each deep.</t>
  </si>
  <si>
    <t>TICKET-1018</t>
  </si>
  <si>
    <t>Can't connect to the Wi-Fi. It's showing 'No internet access'. Card series research else cup though artist.</t>
  </si>
  <si>
    <t>TICKET-1019</t>
  </si>
  <si>
    <t>My laptop's keyboard isn't working properly, some keys are stuck. Young up grow after offer east region would.</t>
  </si>
  <si>
    <t>TICKET-1020</t>
  </si>
  <si>
    <t>Application X is crashing every time I open it. Nice then management.</t>
  </si>
  <si>
    <t>TICKET-1021</t>
  </si>
  <si>
    <t>Application X is crashing every time I open it. Water act involve follow hot.</t>
  </si>
  <si>
    <t>TICKET-1022</t>
  </si>
  <si>
    <t>Application X is crashing every time I open it. Another such apply table let.</t>
  </si>
  <si>
    <t>TICKET-1023</t>
  </si>
  <si>
    <t>Application X is crashing every time I open it. Senior per draw day mention sea quickly.</t>
  </si>
  <si>
    <t>TICKET-1024</t>
  </si>
  <si>
    <t>Can't connect to the Wi-Fi. It's showing 'No internet access'. Race Republican expect east might collection.</t>
  </si>
  <si>
    <t>TICKET-1025</t>
  </si>
  <si>
    <t>Application X is crashing every time I open it. Total maintain service writer.</t>
  </si>
  <si>
    <t>TICKET-1026</t>
  </si>
  <si>
    <t>Can't connect to the Wi-Fi. It's showing 'No internet access'. Individual herself decide generation.</t>
  </si>
  <si>
    <t>TICKET-1027</t>
  </si>
  <si>
    <t>Billing</t>
  </si>
  <si>
    <t>Yourself floor foot character choose. Brother prepare but film key name.</t>
  </si>
  <si>
    <t>TICKET-1028</t>
  </si>
  <si>
    <t>Successful radio play network yet. Fill director direction ready white.</t>
  </si>
  <si>
    <t>TICKET-1029</t>
  </si>
  <si>
    <t>Application X is crashing every time I open it. Southern beat general first much hotel agency.</t>
  </si>
  <si>
    <t>TICKET-1030</t>
  </si>
  <si>
    <t>Can't connect to the Wi-Fi. It's showing 'No internet access'. Cup government by life reduce each customer.</t>
  </si>
  <si>
    <t>TICKET-1031</t>
  </si>
  <si>
    <t>Application X is crashing every time I open it. Market growth film.</t>
  </si>
  <si>
    <t>TICKET-1032</t>
  </si>
  <si>
    <t>Can't connect to the Wi-Fi. It's showing 'No internet access'. Could north state feel others participant.</t>
  </si>
  <si>
    <t>TICKET-1033</t>
  </si>
  <si>
    <t>Follow chair add finally these plan staff. Across shoulder school free.</t>
  </si>
  <si>
    <t>TICKET-1034</t>
  </si>
  <si>
    <t>Application X is crashing every time I open it. Bag half join treat water by affect.</t>
  </si>
  <si>
    <t>TICKET-1035</t>
  </si>
  <si>
    <t>My laptop's keyboard isn't working properly, some keys are stuck. Science bad news pressure anything probably save.</t>
  </si>
  <si>
    <t>TICKET-1036</t>
  </si>
  <si>
    <t>Application X is crashing every time I open it. Fund project find law identify close worker.</t>
  </si>
  <si>
    <t>TICKET-1037</t>
  </si>
  <si>
    <t>Rate play media air. Trade thank hundred choice reduce remember possible us.</t>
  </si>
  <si>
    <t>TICKET-1038</t>
  </si>
  <si>
    <t>Application X is crashing every time I open it. Effort avoid door shoulder cut.</t>
  </si>
  <si>
    <t>TICKET-1039</t>
  </si>
  <si>
    <t>I'm locked out of my account and can't reset my password. Point fine stop radio chair tree career scene.</t>
  </si>
  <si>
    <t>TICKET-1040</t>
  </si>
  <si>
    <t>Can't connect to the Wi-Fi. It's showing 'No internet access'. Simple practice operation move put.</t>
  </si>
  <si>
    <t>TICKET-1041</t>
  </si>
  <si>
    <t>My laptop's keyboard isn't working properly, some keys are stuck. Firm discuss audience say amount.</t>
  </si>
  <si>
    <t>TICKET-1042</t>
  </si>
  <si>
    <t>Physical business information.
Activity else house another. Still protect admit answer.</t>
  </si>
  <si>
    <t>TICKET-1043</t>
  </si>
  <si>
    <t>Application X is crashing every time I open it. Anything despite not.</t>
  </si>
  <si>
    <t>Critical</t>
  </si>
  <si>
    <t>TICKET-1044</t>
  </si>
  <si>
    <t>My laptop's keyboard isn't working properly, some keys are stuck. Film answer tax different carry represent.</t>
  </si>
  <si>
    <t>TICKET-1045</t>
  </si>
  <si>
    <t>Application X is crashing every time I open it. American computer let go event.</t>
  </si>
  <si>
    <t>TICKET-1046</t>
  </si>
  <si>
    <t>Can't connect to the Wi-Fi. It's showing 'No internet access'. Build oil wait community less happen.</t>
  </si>
  <si>
    <t>TICKET-1047</t>
  </si>
  <si>
    <t>I'm locked out of my account and can't reset my password. Decide stuff agree national politics current son.</t>
  </si>
  <si>
    <t>TICKET-1048</t>
  </si>
  <si>
    <t>Can't connect to the Wi-Fi. It's showing 'No internet access'. Phone interview worker could.</t>
  </si>
  <si>
    <t>TICKET-1049</t>
  </si>
  <si>
    <t>Can't connect to the Wi-Fi. It's showing 'No internet access'. Together life least mission.</t>
  </si>
  <si>
    <t>TICKET-1050</t>
  </si>
  <si>
    <t>If forget newspaper behavior note put. Almost affect entire. Trial set capital real.</t>
  </si>
  <si>
    <t>TICKET-1051</t>
  </si>
  <si>
    <t>Application X is crashing every time I open it. My sound short.</t>
  </si>
  <si>
    <t>TICKET-1052</t>
  </si>
  <si>
    <t>Application X is crashing every time I open it. Where culture site value set.</t>
  </si>
  <si>
    <t>TICKET-1053</t>
  </si>
  <si>
    <t>Application X is crashing every time I open it. Go claim billion small experience old.</t>
  </si>
  <si>
    <t>TICKET-1054</t>
  </si>
  <si>
    <t>Can't connect to the Wi-Fi. It's showing 'No internet access'. Option name including.</t>
  </si>
  <si>
    <t>TICKET-1055</t>
  </si>
  <si>
    <t>I'm locked out of my account and can't reset my password. Idea enter expert decision something.</t>
  </si>
  <si>
    <t>TICKET-1056</t>
  </si>
  <si>
    <t>Through culture similar finally. Oil world money about fine street small.</t>
  </si>
  <si>
    <t>TICKET-1057</t>
  </si>
  <si>
    <t>Weight go sort sign law response since. Sister other actually Mrs fight everything get.</t>
  </si>
  <si>
    <t>TICKET-1058</t>
  </si>
  <si>
    <t>Particular ask company nearly exist exactly friend.</t>
  </si>
  <si>
    <t>TICKET-1059</t>
  </si>
  <si>
    <t>Application X is crashing every time I open it. Skin subject purpose baby training.</t>
  </si>
  <si>
    <t>TICKET-1060</t>
  </si>
  <si>
    <t>My laptop's keyboard isn't working properly, some keys are stuck. Than none office improve.</t>
  </si>
  <si>
    <t>TICKET-1061</t>
  </si>
  <si>
    <t>Application X is crashing every time I open it. With because article scene father black.</t>
  </si>
  <si>
    <t>TICKET-1062</t>
  </si>
  <si>
    <t>Application X is crashing every time I open it. Food pass energy fund need read anything.</t>
  </si>
  <si>
    <t>TICKET-1063</t>
  </si>
  <si>
    <t>I'm locked out of my account and can't reset my password. Agreement news significant cultural agree.</t>
  </si>
  <si>
    <t>TICKET-1064</t>
  </si>
  <si>
    <t>I'm locked out of my account and can't reset my password. Especially under always tend teacher build.</t>
  </si>
  <si>
    <t>TICKET-1065</t>
  </si>
  <si>
    <t>Can't connect to the Wi-Fi. It's showing 'No internet access'. Child as debate economy.</t>
  </si>
  <si>
    <t>TICKET-1066</t>
  </si>
  <si>
    <t>My laptop's keyboard isn't working properly, some keys are stuck. Someone poor mission fill free.</t>
  </si>
  <si>
    <t>TICKET-1067</t>
  </si>
  <si>
    <t>Can't connect to the Wi-Fi. It's showing 'No internet access'. Represent safe scene wall dog.</t>
  </si>
  <si>
    <t>TICKET-1068</t>
  </si>
  <si>
    <t>Application X is crashing every time I open it. Claim success those baby.</t>
  </si>
  <si>
    <t>TICKET-1069</t>
  </si>
  <si>
    <t>Application X is crashing every time I open it. Term lot their. Dark itself deal race Democrat.</t>
  </si>
  <si>
    <t>TICKET-1070</t>
  </si>
  <si>
    <t>My laptop's keyboard isn't working properly, some keys are stuck. Bad past glass strategy. Above skin station.</t>
  </si>
  <si>
    <t>TICKET-1071</t>
  </si>
  <si>
    <t>Application X is crashing every time I open it. Tv control generation away public remain.</t>
  </si>
  <si>
    <t>TICKET-1072</t>
  </si>
  <si>
    <t>Can't connect to the Wi-Fi. It's showing 'No internet access'. Alone skill foot benefit.</t>
  </si>
  <si>
    <t>TICKET-1073</t>
  </si>
  <si>
    <t>Media respond them indicate. Up movie television stop. Garden ten city already close.</t>
  </si>
  <si>
    <t>TICKET-1074</t>
  </si>
  <si>
    <t>Lay support mouth control understand could. Husband for evening upon involve.</t>
  </si>
  <si>
    <t>TICKET-1075</t>
  </si>
  <si>
    <t>Company month civil season include. Onto life for both little.</t>
  </si>
  <si>
    <t>TICKET-1076</t>
  </si>
  <si>
    <t>Application X is crashing every time I open it. Candidate push mind exactly feel.</t>
  </si>
  <si>
    <t>TICKET-1077</t>
  </si>
  <si>
    <t>Writer city suffer within important recently difference. Wait only relationship free.</t>
  </si>
  <si>
    <t>TICKET-1078</t>
  </si>
  <si>
    <t>Application X is crashing every time I open it. Form customer bill interest remember which.</t>
  </si>
  <si>
    <t>TICKET-1079</t>
  </si>
  <si>
    <t>Can't connect to the Wi-Fi. It's showing 'No internet access'. Agree begin guess ask choice low themselves born.</t>
  </si>
  <si>
    <t>TICKET-1080</t>
  </si>
  <si>
    <t>Application X is crashing every time I open it. Center worry nor whole.</t>
  </si>
  <si>
    <t>TICKET-1081</t>
  </si>
  <si>
    <t>I'm locked out of my account and can't reset my password. Miss son responsibility hour.</t>
  </si>
  <si>
    <t>TICKET-1082</t>
  </si>
  <si>
    <t>Application X is crashing every time I open it. Develop course foreign no either.</t>
  </si>
  <si>
    <t>TICKET-1083</t>
  </si>
  <si>
    <t>Public husband return country service very. Be exactly time firm yard price bad.</t>
  </si>
  <si>
    <t>TICKET-1084</t>
  </si>
  <si>
    <t>My laptop's keyboard isn't working properly, some keys are stuck. Perform author more owner girl message.</t>
  </si>
  <si>
    <t>TICKET-1085</t>
  </si>
  <si>
    <t>I'm locked out of my account and can't reset my password. Church stop environment.</t>
  </si>
  <si>
    <t>TICKET-1086</t>
  </si>
  <si>
    <t>Application X is crashing every time I open it. Everyone body modern feeling shake loss.</t>
  </si>
  <si>
    <t>TICKET-1087</t>
  </si>
  <si>
    <t>My laptop's keyboard isn't working properly, some keys are stuck. Whole material thus despite firm more.</t>
  </si>
  <si>
    <t>TICKET-1088</t>
  </si>
  <si>
    <t>Application X is crashing every time I open it. Until statement century seat vote never.</t>
  </si>
  <si>
    <t>TICKET-1089</t>
  </si>
  <si>
    <t>Application X is crashing every time I open it. Big season the.</t>
  </si>
  <si>
    <t>TICKET-1090</t>
  </si>
  <si>
    <t>Application X is crashing every time I open it. Usually career attention realize.</t>
  </si>
  <si>
    <t>TICKET-1091</t>
  </si>
  <si>
    <t>Application X is crashing every time I open it. Firm tonight statement feel Mrs music.</t>
  </si>
  <si>
    <t>TICKET-1092</t>
  </si>
  <si>
    <t>Can't connect to the Wi-Fi. It's showing 'No internet access'. Life change act. Through imagine again whole.</t>
  </si>
  <si>
    <t>TICKET-1093</t>
  </si>
  <si>
    <t>Including development attack wide. Concern his environment attack program rest team.</t>
  </si>
  <si>
    <t>TICKET-1094</t>
  </si>
  <si>
    <t>I'm locked out of my account and can't reset my password. Another collection another many.</t>
  </si>
  <si>
    <t>TICKET-1095</t>
  </si>
  <si>
    <t>Compare or at environmental. Six what them fall. Husband certain institution phone resource blood.</t>
  </si>
  <si>
    <t>TICKET-1096</t>
  </si>
  <si>
    <t>I'm locked out of my account and can't reset my password. Medical let door front. Law end always.</t>
  </si>
  <si>
    <t>TICKET-1097</t>
  </si>
  <si>
    <t>My laptop's keyboard isn't working properly, some keys are stuck. Rich fire power city. Water career next relate.</t>
  </si>
  <si>
    <t>TICKET-1098</t>
  </si>
  <si>
    <t>Application X is crashing every time I open it. Result happy song want finish stuff.</t>
  </si>
  <si>
    <t>TICKET-1099</t>
  </si>
  <si>
    <t>My laptop's keyboard isn't working properly, some keys are stuck. Themselves big matter happy small.</t>
  </si>
  <si>
    <t>TICKET-1100</t>
  </si>
  <si>
    <t>Application X is crashing every time I open it. Agent will respond help.</t>
  </si>
  <si>
    <t>TICKET-1101</t>
  </si>
  <si>
    <t>Application X is crashing every time I open it. Short commercial everybody difficult change.</t>
  </si>
  <si>
    <t>TICKET-1102</t>
  </si>
  <si>
    <t>Any today within none hot again green. Remember attack event view father.</t>
  </si>
  <si>
    <t>TICKET-1103</t>
  </si>
  <si>
    <t>Application X is crashing every time I open it. Represent senior his finish include nothing.</t>
  </si>
  <si>
    <t>TICKET-1104</t>
  </si>
  <si>
    <t>She certain boy build. Test bag country president environment.</t>
  </si>
  <si>
    <t>TICKET-1105</t>
  </si>
  <si>
    <t>Can't connect to the Wi-Fi. It's showing 'No internet access'. Hair job save son.</t>
  </si>
  <si>
    <t>TICKET-1106</t>
  </si>
  <si>
    <t>Growth middle establish public.</t>
  </si>
  <si>
    <t>TICKET-1107</t>
  </si>
  <si>
    <t>My laptop's keyboard isn't working properly, some keys are stuck. Produce require line letter listen often.</t>
  </si>
  <si>
    <t>TICKET-1108</t>
  </si>
  <si>
    <t>My laptop's keyboard isn't working properly, some keys are stuck. At bag continue.</t>
  </si>
  <si>
    <t>TICKET-1109</t>
  </si>
  <si>
    <t>Application X is crashing every time I open it. Without pass book tend.</t>
  </si>
  <si>
    <t>TICKET-1110</t>
  </si>
  <si>
    <t>I'm locked out of my account and can't reset my password. Right where add.</t>
  </si>
  <si>
    <t>TICKET-1111</t>
  </si>
  <si>
    <t>Application X is crashing every time I open it. Argue team senior low training.</t>
  </si>
  <si>
    <t>TICKET-1112</t>
  </si>
  <si>
    <t>Plant attack should. Drive international today. Pretty statement her upon nation.</t>
  </si>
  <si>
    <t>TICKET-1113</t>
  </si>
  <si>
    <t>My laptop's keyboard isn't working properly, some keys are stuck. Chance place build body population.</t>
  </si>
  <si>
    <t>TICKET-1114</t>
  </si>
  <si>
    <t>Something million activity. Interview under cover career under. Can address show public.</t>
  </si>
  <si>
    <t>TICKET-1115</t>
  </si>
  <si>
    <t>I'm locked out of my account and can't reset my password. Receive nature option oil read trouble.</t>
  </si>
  <si>
    <t>TICKET-1116</t>
  </si>
  <si>
    <t>Application X is crashing every time I open it. Toward ago director condition food share meet.</t>
  </si>
  <si>
    <t>TICKET-1117</t>
  </si>
  <si>
    <t>I'm locked out of my account and can't reset my password. For we when drive. Start identify now throw.</t>
  </si>
  <si>
    <t>TICKET-1118</t>
  </si>
  <si>
    <t>Even focus animal civil quality lay skill. Need maybe former return.</t>
  </si>
  <si>
    <t>TICKET-1119</t>
  </si>
  <si>
    <t>My laptop's keyboard isn't working properly, some keys are stuck. Cup money work certainly color.</t>
  </si>
  <si>
    <t>TICKET-1120</t>
  </si>
  <si>
    <t>Clear late win beat. Those arm say year him science door.</t>
  </si>
  <si>
    <t>TICKET-1121</t>
  </si>
  <si>
    <t>I'm locked out of my account and can't reset my password. Purpose almost nature create authority company.</t>
  </si>
  <si>
    <t>TICKET-1122</t>
  </si>
  <si>
    <t>Application X is crashing every time I open it. Garden better chance impact where how member.</t>
  </si>
  <si>
    <t>TICKET-1123</t>
  </si>
  <si>
    <t>Can't connect to the Wi-Fi. It's showing 'No internet access'. Bag without else red. Able year decision others.</t>
  </si>
  <si>
    <t>TICKET-1124</t>
  </si>
  <si>
    <t>Police machine star. Computer lead control across blue eye force. Parent set professor sit couple.</t>
  </si>
  <si>
    <t>TICKET-1125</t>
  </si>
  <si>
    <t>Group resource dinner knowledge scientist Mr. Police simply enter training too.</t>
  </si>
  <si>
    <t>TICKET-1126</t>
  </si>
  <si>
    <t>My laptop's keyboard isn't working properly, some keys are stuck. Go wear understand relate.</t>
  </si>
  <si>
    <t>TICKET-1127</t>
  </si>
  <si>
    <t>Application X is crashing every time I open it. Gas mother rate wind fight success medical.</t>
  </si>
  <si>
    <t>TICKET-1128</t>
  </si>
  <si>
    <t>Can't connect to the Wi-Fi. It's showing 'No internet access'. These entire million eat play sit.</t>
  </si>
  <si>
    <t>TICKET-1129</t>
  </si>
  <si>
    <t>Draw once season talk forward. Decision partner north realize finish one question.</t>
  </si>
  <si>
    <t>TICKET-1130</t>
  </si>
  <si>
    <t>Catch travel form bar pretty himself team. Light suffer evidence land ok may guy.</t>
  </si>
  <si>
    <t>TICKET-1131</t>
  </si>
  <si>
    <t>Act believe heavy watch best game part. Too language mean. Cut age personal resource.</t>
  </si>
  <si>
    <t>TICKET-1132</t>
  </si>
  <si>
    <t>Year name message voice data. Protect word up today. Break drop already life.</t>
  </si>
  <si>
    <t>TICKET-1133</t>
  </si>
  <si>
    <t>I'm locked out of my account and can't reset my password. Maintain tree story research hair why.</t>
  </si>
  <si>
    <t>TICKET-1134</t>
  </si>
  <si>
    <t>Memory process group arm attack indicate mother. View three prepare by.</t>
  </si>
  <si>
    <t>TICKET-1135</t>
  </si>
  <si>
    <t>Foreign sign be money cup raise keep. Right scene market.</t>
  </si>
  <si>
    <t>TICKET-1136</t>
  </si>
  <si>
    <t>My laptop's keyboard isn't working properly, some keys are stuck. Certain six among before.</t>
  </si>
  <si>
    <t>TICKET-1137</t>
  </si>
  <si>
    <t>My laptop's keyboard isn't working properly, some keys are stuck. Ago his against point garden drug.</t>
  </si>
  <si>
    <t>TICKET-1138</t>
  </si>
  <si>
    <t>Application X is crashing every time I open it. Any state food citizen.</t>
  </si>
  <si>
    <t>TICKET-1139</t>
  </si>
  <si>
    <t>Can't connect to the Wi-Fi. It's showing 'No internet access'. He particularly begin save area finally word.</t>
  </si>
  <si>
    <t>TICKET-1140</t>
  </si>
  <si>
    <t>My laptop's keyboard isn't working properly, some keys are stuck. Serious simply mind cost movie actually.</t>
  </si>
  <si>
    <t>TICKET-1141</t>
  </si>
  <si>
    <t>My laptop's keyboard isn't working properly, some keys are stuck. Social approach mother white.</t>
  </si>
  <si>
    <t>TICKET-1142</t>
  </si>
  <si>
    <t>Can't connect to the Wi-Fi. It's showing 'No internet access'. Enter room up sound nature.</t>
  </si>
  <si>
    <t>TICKET-1143</t>
  </si>
  <si>
    <t>My laptop's keyboard isn't working properly, some keys are stuck. Effort to since question.</t>
  </si>
  <si>
    <t>TICKET-1144</t>
  </si>
  <si>
    <t>Application X is crashing every time I open it. These drive president building.</t>
  </si>
  <si>
    <t>TICKET-1145</t>
  </si>
  <si>
    <t>Suddenly effort she without without.</t>
  </si>
  <si>
    <t>TICKET-1146</t>
  </si>
  <si>
    <t>Can't connect to the Wi-Fi. It's showing 'No internet access'. Should that nation can difficult nice.</t>
  </si>
  <si>
    <t>TICKET-1147</t>
  </si>
  <si>
    <t>Look scene real owner agent whose specific. Along they yourself character year or behind.</t>
  </si>
  <si>
    <t>TICKET-1148</t>
  </si>
  <si>
    <t>You reflect radio. Especially speech wish interesting wife.</t>
  </si>
  <si>
    <t>TICKET-1149</t>
  </si>
  <si>
    <t>My laptop's keyboard isn't working properly, some keys are stuck. Event pattern factor deep manager work.</t>
  </si>
  <si>
    <t>Resolution Time</t>
  </si>
  <si>
    <t>Day</t>
  </si>
  <si>
    <t>Sun</t>
  </si>
  <si>
    <t>Mon</t>
  </si>
  <si>
    <t>Tue</t>
  </si>
  <si>
    <t>Wed</t>
  </si>
  <si>
    <t>Thu</t>
  </si>
  <si>
    <t>Fri</t>
  </si>
  <si>
    <t>Sat</t>
  </si>
  <si>
    <t>Grand Total</t>
  </si>
  <si>
    <t>Count of ticket_id</t>
  </si>
  <si>
    <t>tickets.</t>
  </si>
  <si>
    <t xml:space="preserve">1.Sunday has the highest number of </t>
  </si>
  <si>
    <t>2.wed and thur also have many tickets.</t>
  </si>
  <si>
    <t>3.Friday has the lowest number of tickets</t>
  </si>
  <si>
    <t xml:space="preserve"> staff on busy days like Sunday and mid week</t>
  </si>
  <si>
    <t>4.So,the IT team should be ready with more</t>
  </si>
  <si>
    <t>Month</t>
  </si>
  <si>
    <t>Priority</t>
  </si>
  <si>
    <t>assigned analyst</t>
  </si>
  <si>
    <t>Category</t>
  </si>
  <si>
    <t xml:space="preserve">This shows  that Acess and Hardware problems  complex </t>
  </si>
  <si>
    <t>and take more time to fix,while network and security issues</t>
  </si>
  <si>
    <t>are resolved faster.</t>
  </si>
  <si>
    <t>The avg resolution time for all tickets is about 5 hours.</t>
  </si>
  <si>
    <t xml:space="preserve">This shows that complex issues like Acess and Hardware take </t>
  </si>
  <si>
    <t>more tym,while simple issues like Network and Securiry are</t>
  </si>
  <si>
    <t xml:space="preserve">solved faster. Higher priority tickets are handled faster than low </t>
  </si>
  <si>
    <t>priority ones.</t>
  </si>
  <si>
    <t>Keywords</t>
  </si>
  <si>
    <t>Application is crashing</t>
  </si>
  <si>
    <t>Keyboard not working</t>
  </si>
  <si>
    <t>No internet</t>
  </si>
  <si>
    <t>Locked out</t>
  </si>
  <si>
    <t>Top prblm &amp;Root causes</t>
  </si>
  <si>
    <t>Repeated issues in Software, Hardware,and Network.</t>
  </si>
  <si>
    <t>Average of Resolution Hours</t>
  </si>
  <si>
    <t xml:space="preserve">The analysists with lower avg resolution time are the best </t>
  </si>
  <si>
    <t>performers.</t>
  </si>
  <si>
    <t xml:space="preserve">The analysts with higher resolution time may need additional </t>
  </si>
  <si>
    <t>training.</t>
  </si>
  <si>
    <t>Resolution Hours2</t>
  </si>
  <si>
    <t>Recommendations</t>
  </si>
  <si>
    <t xml:space="preserve">1. Provide additional training for Hardware issue handling  </t>
  </si>
  <si>
    <t xml:space="preserve">2.Increase staff support on Sundays (highest tickets)  </t>
  </si>
  <si>
    <t xml:space="preserve">3.Focus on reducing resolution time for Access &amp; Hardware tickets  </t>
  </si>
  <si>
    <t xml:space="preserve">4. Prioritize quick handling system for high-priority tickets  </t>
  </si>
  <si>
    <t>5. Monitor low-performing analysts and provide support/training</t>
  </si>
  <si>
    <t xml:space="preserve">6. Implement automated password reset for Access issues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</si>
</sst>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33" borderId="10" xfId="0" applyFont="1" applyFill="1" applyBorder="1"/>
    <xf numFmtId="0" fontId="0" fillId="34" borderId="10" xfId="0" applyFont="1" applyFill="1" applyBorder="1"/>
    <xf numFmtId="0" fontId="0" fillId="0" borderId="10" xfId="0" applyFont="1" applyBorder="1"/>
    <xf numFmtId="0" fontId="16" fillId="0" borderId="0" xfId="0" applyFont="1" applyAlignment="1">
      <alignment horizontal="left"/>
    </xf>
    <xf numFmtId="0" fontId="16" fillId="0" borderId="0" xfId="0" applyFont="1"/>
    <xf numFmtId="2" fontId="0" fillId="0" borderId="0" xfId="0" applyNumberFormat="1"/>
    <xf numFmtId="164" fontId="13" fillId="33" borderId="10" xfId="0" applyNumberFormat="1" applyFont="1" applyFill="1" applyBorder="1"/>
    <xf numFmtId="164" fontId="0" fillId="34" borderId="10" xfId="0" applyNumberFormat="1" applyFont="1" applyFill="1" applyBorder="1"/>
    <xf numFmtId="2" fontId="0" fillId="34" borderId="11" xfId="0" applyNumberFormat="1" applyFont="1" applyFill="1" applyBorder="1"/>
    <xf numFmtId="164" fontId="0" fillId="0" borderId="10" xfId="0" applyNumberFormat="1" applyFont="1" applyBorder="1"/>
    <xf numFmtId="2" fontId="0" fillId="0" borderId="11" xfId="0" applyNumberFormat="1" applyFont="1" applyBorder="1"/>
    <xf numFmtId="2" fontId="13" fillId="33" borderId="11" xfId="0" applyNumberFormat="1" applyFont="1" applyFill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5 coding challange It help desk analysis.xlsx]Detailed Analysis!PivotTable2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Ticket</a:t>
            </a:r>
            <a:r>
              <a:rPr lang="en-US" b="1" baseline="0"/>
              <a:t> by Day</a:t>
            </a:r>
            <a:endParaRPr lang="en-US" b="1"/>
          </a:p>
        </c:rich>
      </c:tx>
      <c:layout>
        <c:manualLayout>
          <c:xMode val="edge"/>
          <c:yMode val="edge"/>
          <c:x val="0.28863049095607235"/>
          <c:y val="0.15884312537855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'Detailed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'Detailed Analysis'!$A$2:$A$9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'Detailed Analysis'!$B$2:$B$9</c:f>
              <c:numCache>
                <c:formatCode>General</c:formatCode>
                <c:ptCount val="7"/>
                <c:pt idx="0">
                  <c:v>26</c:v>
                </c:pt>
                <c:pt idx="1">
                  <c:v>19</c:v>
                </c:pt>
                <c:pt idx="2">
                  <c:v>22</c:v>
                </c:pt>
                <c:pt idx="3">
                  <c:v>24</c:v>
                </c:pt>
                <c:pt idx="4">
                  <c:v>23</c:v>
                </c:pt>
                <c:pt idx="5">
                  <c:v>16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B-4F20-B17B-3FF9EFE49F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9700528"/>
        <c:axId val="189701488"/>
      </c:barChart>
      <c:catAx>
        <c:axId val="18970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1488"/>
        <c:crosses val="autoZero"/>
        <c:auto val="1"/>
        <c:lblAlgn val="ctr"/>
        <c:lblOffset val="100"/>
        <c:noMultiLvlLbl val="0"/>
      </c:catAx>
      <c:valAx>
        <c:axId val="189701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7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5 coding challange It help desk analysis.xlsx]Detailed Analysis!PivotTable3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Tickets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0025467422272931"/>
          <c:y val="0.3801892792247123"/>
          <c:w val="0.37224456206632128"/>
          <c:h val="0.4711038764385220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'Detailed Analysis'!$E$2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'Detailed Analysis'!$D$3:$D$10</c:f>
              <c:strCache>
                <c:ptCount val="7"/>
                <c:pt idx="0">
                  <c:v>Software</c:v>
                </c:pt>
                <c:pt idx="1">
                  <c:v>Hardware</c:v>
                </c:pt>
                <c:pt idx="2">
                  <c:v>Network</c:v>
                </c:pt>
                <c:pt idx="3">
                  <c:v>Other</c:v>
                </c:pt>
                <c:pt idx="4">
                  <c:v>Access</c:v>
                </c:pt>
                <c:pt idx="5">
                  <c:v>Billing</c:v>
                </c:pt>
                <c:pt idx="6">
                  <c:v>Security</c:v>
                </c:pt>
              </c:strCache>
            </c:strRef>
          </c:cat>
          <c:val>
            <c:numRef>
              <c:f>'Detailed Analysis'!$E$3:$E$10</c:f>
              <c:numCache>
                <c:formatCode>General</c:formatCode>
                <c:ptCount val="7"/>
                <c:pt idx="0">
                  <c:v>51</c:v>
                </c:pt>
                <c:pt idx="1">
                  <c:v>24</c:v>
                </c:pt>
                <c:pt idx="2">
                  <c:v>23</c:v>
                </c:pt>
                <c:pt idx="3">
                  <c:v>18</c:v>
                </c:pt>
                <c:pt idx="4">
                  <c:v>15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F-40AC-981E-C3630CB6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217840"/>
        <c:axId val="181218800"/>
        <c:axId val="0"/>
      </c:bar3DChart>
      <c:catAx>
        <c:axId val="18121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18800"/>
        <c:crosses val="autoZero"/>
        <c:auto val="1"/>
        <c:lblAlgn val="ctr"/>
        <c:lblOffset val="100"/>
        <c:noMultiLvlLbl val="0"/>
      </c:catAx>
      <c:valAx>
        <c:axId val="18121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1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5 coding challange It help desk analysis.xlsx]Detailed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Avg</a:t>
            </a:r>
            <a:r>
              <a:rPr lang="en-US" sz="1200" b="1" baseline="0"/>
              <a:t> Resolution  time by Category</a:t>
            </a:r>
            <a:endParaRPr lang="en-US" sz="1200" b="1"/>
          </a:p>
        </c:rich>
      </c:tx>
      <c:layout>
        <c:manualLayout>
          <c:xMode val="edge"/>
          <c:yMode val="edge"/>
          <c:x val="0.17027908080638857"/>
          <c:y val="9.6902444156505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'Detailed Analysis'!$H$2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Analysis'!$G$3:$G$10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'Detailed Analysis'!$H$3:$H$10</c:f>
              <c:numCache>
                <c:formatCode>0.00</c:formatCode>
                <c:ptCount val="7"/>
                <c:pt idx="0">
                  <c:v>3.698899691358025</c:v>
                </c:pt>
                <c:pt idx="1">
                  <c:v>5.2180169753086423</c:v>
                </c:pt>
                <c:pt idx="2">
                  <c:v>3.5530516975308633</c:v>
                </c:pt>
                <c:pt idx="3">
                  <c:v>4.1762042069243162</c:v>
                </c:pt>
                <c:pt idx="4">
                  <c:v>4.2952430555555559</c:v>
                </c:pt>
                <c:pt idx="5">
                  <c:v>8.1520122354497353</c:v>
                </c:pt>
                <c:pt idx="6">
                  <c:v>4.5569324164851137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F-4657-848C-33BA3B0579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83483648"/>
        <c:axId val="183481728"/>
      </c:barChart>
      <c:catAx>
        <c:axId val="1834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1728"/>
        <c:crosses val="autoZero"/>
        <c:auto val="1"/>
        <c:lblAlgn val="ctr"/>
        <c:lblOffset val="100"/>
        <c:noMultiLvlLbl val="0"/>
      </c:catAx>
      <c:valAx>
        <c:axId val="18348172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13</xdr:col>
      <xdr:colOff>411480</xdr:colOff>
      <xdr:row>28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6D6616B-166B-4E00-662B-C2BD400552A5}"/>
            </a:ext>
          </a:extLst>
        </xdr:cNvPr>
        <xdr:cNvSpPr/>
      </xdr:nvSpPr>
      <xdr:spPr>
        <a:xfrm>
          <a:off x="609600" y="38100"/>
          <a:ext cx="7726680" cy="519684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464820</xdr:colOff>
      <xdr:row>4</xdr:row>
      <xdr:rowOff>38100</xdr:rowOff>
    </xdr:from>
    <xdr:to>
      <xdr:col>7</xdr:col>
      <xdr:colOff>91440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3AB54E-417E-429C-8E69-E090AC2F6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4</xdr:row>
      <xdr:rowOff>45720</xdr:rowOff>
    </xdr:from>
    <xdr:to>
      <xdr:col>12</xdr:col>
      <xdr:colOff>601980</xdr:colOff>
      <xdr:row>15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C78C48-ED9E-4D92-A4F1-55824E5D1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16</xdr:row>
      <xdr:rowOff>0</xdr:rowOff>
    </xdr:from>
    <xdr:to>
      <xdr:col>9</xdr:col>
      <xdr:colOff>388620</xdr:colOff>
      <xdr:row>20</xdr:row>
      <xdr:rowOff>15240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AA46E3D-F654-67D1-BC3B-B28FA7B3038A}"/>
            </a:ext>
          </a:extLst>
        </xdr:cNvPr>
        <xdr:cNvSpPr/>
      </xdr:nvSpPr>
      <xdr:spPr>
        <a:xfrm>
          <a:off x="4533900" y="2926080"/>
          <a:ext cx="1341120" cy="74676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Avg</a:t>
          </a:r>
          <a:r>
            <a:rPr lang="en-IN" sz="1100" b="1" baseline="0"/>
            <a:t> Resolution Time</a:t>
          </a:r>
          <a:endParaRPr lang="en-IN" sz="1100" b="1"/>
        </a:p>
      </xdr:txBody>
    </xdr:sp>
    <xdr:clientData/>
  </xdr:twoCellAnchor>
  <xdr:twoCellAnchor>
    <xdr:from>
      <xdr:col>1</xdr:col>
      <xdr:colOff>502920</xdr:colOff>
      <xdr:row>15</xdr:row>
      <xdr:rowOff>99060</xdr:rowOff>
    </xdr:from>
    <xdr:to>
      <xdr:col>7</xdr:col>
      <xdr:colOff>83820</xdr:colOff>
      <xdr:row>27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80A350-E20A-4C10-BA40-8B1714D5A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457200</xdr:colOff>
      <xdr:row>1</xdr:row>
      <xdr:rowOff>106680</xdr:rowOff>
    </xdr:from>
    <xdr:to>
      <xdr:col>13</xdr:col>
      <xdr:colOff>0</xdr:colOff>
      <xdr:row>3</xdr:row>
      <xdr:rowOff>152400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F220014-6331-3B4B-2211-78CE3847BB8D}"/>
            </a:ext>
          </a:extLst>
        </xdr:cNvPr>
        <xdr:cNvSpPr/>
      </xdr:nvSpPr>
      <xdr:spPr>
        <a:xfrm>
          <a:off x="1066800" y="289560"/>
          <a:ext cx="6858000" cy="4114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                                                                 </a:t>
          </a:r>
          <a:r>
            <a:rPr lang="en-IN" sz="1800" b="1"/>
            <a:t> IT Help Desk</a:t>
          </a:r>
          <a:r>
            <a:rPr lang="en-IN" sz="1800" b="1" baseline="0"/>
            <a:t> Performance Dashboard</a:t>
          </a:r>
          <a:endParaRPr lang="en-IN" sz="1800" b="1"/>
        </a:p>
      </xdr:txBody>
    </xdr:sp>
    <xdr:clientData/>
  </xdr:twoCellAnchor>
  <xdr:twoCellAnchor>
    <xdr:from>
      <xdr:col>7</xdr:col>
      <xdr:colOff>281940</xdr:colOff>
      <xdr:row>20</xdr:row>
      <xdr:rowOff>91440</xdr:rowOff>
    </xdr:from>
    <xdr:to>
      <xdr:col>13</xdr:col>
      <xdr:colOff>175260</xdr:colOff>
      <xdr:row>26</xdr:row>
      <xdr:rowOff>68580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39D97C4-BB26-30CA-1BE7-86085916843E}"/>
            </a:ext>
          </a:extLst>
        </xdr:cNvPr>
        <xdr:cNvSpPr/>
      </xdr:nvSpPr>
      <xdr:spPr>
        <a:xfrm>
          <a:off x="4549140" y="3749040"/>
          <a:ext cx="3550920" cy="1074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Key Insights</a:t>
          </a:r>
        </a:p>
        <a:p>
          <a:pPr algn="l"/>
          <a:r>
            <a:rPr lang="en-IN" sz="1100"/>
            <a:t>-Sunday has the hightest</a:t>
          </a:r>
          <a:r>
            <a:rPr lang="en-IN" sz="1100" baseline="0"/>
            <a:t> number of tickets</a:t>
          </a:r>
          <a:endParaRPr lang="en-IN" sz="1100" b="0" i="0" u="none" strike="noStrike" baseline="0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-Software category has the most issues</a:t>
          </a:r>
        </a:p>
        <a:p>
          <a:pPr algn="l"/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-Access and Hardware tickets take more time to resolve</a:t>
          </a:r>
        </a:p>
        <a:p>
          <a:pPr algn="l"/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-High priority tickets are resolved faster than low priority</a:t>
          </a:r>
        </a:p>
        <a:p>
          <a:pPr algn="l"/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-Average resolution time is around 4.44 hours.</a:t>
          </a:r>
          <a:endParaRPr lang="en-IN" sz="1100"/>
        </a:p>
      </xdr:txBody>
    </xdr:sp>
    <xdr:clientData/>
  </xdr:twoCellAnchor>
  <xdr:twoCellAnchor>
    <xdr:from>
      <xdr:col>9</xdr:col>
      <xdr:colOff>579120</xdr:colOff>
      <xdr:row>15</xdr:row>
      <xdr:rowOff>167640</xdr:rowOff>
    </xdr:from>
    <xdr:to>
      <xdr:col>12</xdr:col>
      <xdr:colOff>91440</xdr:colOff>
      <xdr:row>20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7C30661-11CE-4281-BC1B-9FB8C0770A3A}"/>
            </a:ext>
          </a:extLst>
        </xdr:cNvPr>
        <xdr:cNvSpPr/>
      </xdr:nvSpPr>
      <xdr:spPr>
        <a:xfrm>
          <a:off x="6065520" y="2910840"/>
          <a:ext cx="1341120" cy="74676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Total tickets</a:t>
          </a:r>
        </a:p>
      </xdr:txBody>
    </xdr:sp>
    <xdr:clientData/>
  </xdr:twoCellAnchor>
  <xdr:twoCellAnchor>
    <xdr:from>
      <xdr:col>10</xdr:col>
      <xdr:colOff>60960</xdr:colOff>
      <xdr:row>17</xdr:row>
      <xdr:rowOff>137160</xdr:rowOff>
    </xdr:from>
    <xdr:to>
      <xdr:col>11</xdr:col>
      <xdr:colOff>556260</xdr:colOff>
      <xdr:row>19</xdr:row>
      <xdr:rowOff>45720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A3F0E99-D1E9-D92E-C709-520FC0D853B8}"/>
            </a:ext>
          </a:extLst>
        </xdr:cNvPr>
        <xdr:cNvSpPr/>
      </xdr:nvSpPr>
      <xdr:spPr>
        <a:xfrm>
          <a:off x="6156960" y="3246120"/>
          <a:ext cx="1104900" cy="274320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Sunday 26 tic</a:t>
          </a:r>
        </a:p>
      </xdr:txBody>
    </xdr:sp>
    <xdr:clientData/>
  </xdr:twoCellAnchor>
  <xdr:twoCellAnchor>
    <xdr:from>
      <xdr:col>8</xdr:col>
      <xdr:colOff>137160</xdr:colOff>
      <xdr:row>17</xdr:row>
      <xdr:rowOff>121920</xdr:rowOff>
    </xdr:from>
    <xdr:to>
      <xdr:col>9</xdr:col>
      <xdr:colOff>251460</xdr:colOff>
      <xdr:row>19</xdr:row>
      <xdr:rowOff>129540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B13651F-C788-DDD8-B7FC-E9453E693C52}"/>
            </a:ext>
          </a:extLst>
        </xdr:cNvPr>
        <xdr:cNvSpPr/>
      </xdr:nvSpPr>
      <xdr:spPr>
        <a:xfrm>
          <a:off x="5013960" y="3230880"/>
          <a:ext cx="723900" cy="3733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4.44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u dhuli" refreshedDate="46101.670306250002" createdVersion="8" refreshedVersion="8" minRefreshableVersion="3" recordCount="150" xr:uid="{ED0669BE-BB4D-44D8-B078-135B6A2F8361}">
  <cacheSource type="worksheet">
    <worksheetSource name="Table1"/>
  </cacheSource>
  <cacheFields count="10">
    <cacheField name="ticket_id" numFmtId="0">
      <sharedItems/>
    </cacheField>
    <cacheField name="submission_date" numFmtId="164">
      <sharedItems containsSemiMixedTypes="0" containsNonDate="0" containsDate="1" containsString="0" minDate="2025-06-18T07:42:24" maxDate="2025-09-15T13:02:57"/>
    </cacheField>
    <cacheField name="resolution_date" numFmtId="164">
      <sharedItems containsSemiMixedTypes="0" containsNonDate="0" containsDate="1" containsString="0" minDate="2025-06-19T21:32:31" maxDate="2025-09-17T23:47:19"/>
    </cacheField>
    <cacheField name="category" numFmtId="0">
      <sharedItems count="7">
        <s v="Other"/>
        <s v="Software"/>
        <s v="Hardware"/>
        <s v="Access"/>
        <s v="Network"/>
        <s v="Security"/>
        <s v="Billing"/>
      </sharedItems>
    </cacheField>
    <cacheField name="assigned_analyst" numFmtId="0">
      <sharedItems count="10">
        <s v="Toni Wiley"/>
        <s v="Tanya Jones"/>
        <s v="Sheila Ball"/>
        <s v="Cynthia Rich"/>
        <s v="Janice Burns"/>
        <s v="Autumn Ryan"/>
        <s v="Amanda White"/>
        <s v="Adam Stone"/>
        <s v="Natasha Harris"/>
        <s v="Marvin West"/>
      </sharedItems>
    </cacheField>
    <cacheField name="description" numFmtId="0">
      <sharedItems/>
    </cacheField>
    <cacheField name="priority" numFmtId="0">
      <sharedItems count="4">
        <s v="High"/>
        <s v="Medium"/>
        <s v="Low"/>
        <s v="Critical"/>
      </sharedItems>
    </cacheField>
    <cacheField name="Resolution Time" numFmtId="164">
      <sharedItems containsSemiMixedTypes="0" containsNonDate="0" containsDate="1" containsString="0" minDate="1899-12-30T01:32:12" maxDate="1900-01-05T23:35:48"/>
    </cacheField>
    <cacheField name="Resolution Hours" numFmtId="164">
      <sharedItems containsSemiMixedTypes="0" containsNonDate="0" containsDate="1" containsString="0" minDate="1899-12-30T03:04:23" maxDate="1900-01-12T23:11:36"/>
    </cacheField>
    <cacheField name="Day" numFmtId="164">
      <sharedItems count="7">
        <s v="Fri"/>
        <s v="Mon"/>
        <s v="Thu"/>
        <s v="Wed"/>
        <s v="Sat"/>
        <s v="Tue"/>
        <s v="S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TICKET-1000"/>
    <d v="2025-06-27T22:36:16"/>
    <d v="2025-06-28T03:46:41"/>
    <x v="0"/>
    <x v="0"/>
    <s v="Dream part subject until full. Brother century suddenly above. Six eight benefit animal move best."/>
    <x v="0"/>
    <d v="1899-12-30T05:10:25"/>
    <d v="1899-12-30T10:20:49"/>
    <x v="0"/>
  </r>
  <r>
    <s v="TICKET-1001"/>
    <d v="2025-09-01T19:27:59"/>
    <d v="2025-09-03T07:18:06"/>
    <x v="1"/>
    <x v="1"/>
    <s v="Application X is crashing every time I open it. Lead how phone also score player later blue."/>
    <x v="1"/>
    <d v="1899-12-31T11:50:07"/>
    <d v="1900-01-01T23:40:13"/>
    <x v="1"/>
  </r>
  <r>
    <s v="TICKET-1002"/>
    <d v="2025-09-04T09:32:03"/>
    <d v="2025-09-05T23:50:37"/>
    <x v="0"/>
    <x v="2"/>
    <s v="Black attack cold would page. Reality she war a chance. Physical hour Mr item red agreement for."/>
    <x v="1"/>
    <d v="1899-12-31T14:18:34"/>
    <d v="1900-01-02T04:37:08"/>
    <x v="2"/>
  </r>
  <r>
    <s v="TICKET-1003"/>
    <d v="2025-07-28T17:47:34"/>
    <d v="2025-07-29T01:38:19"/>
    <x v="2"/>
    <x v="3"/>
    <s v="My laptop's keyboard isn't working properly, some keys are stuck. Tree culture above effort more national whether."/>
    <x v="0"/>
    <d v="1899-12-30T07:50:45"/>
    <d v="1899-12-30T15:41:31"/>
    <x v="1"/>
  </r>
  <r>
    <s v="TICKET-1004"/>
    <d v="2025-09-03T21:46:09"/>
    <d v="2025-09-04T06:53:07"/>
    <x v="1"/>
    <x v="4"/>
    <s v="Application X is crashing every time I open it. Order wrong fight foreign bad house pick."/>
    <x v="0"/>
    <d v="1899-12-30T09:06:59"/>
    <d v="1899-12-30T18:13:57"/>
    <x v="3"/>
  </r>
  <r>
    <s v="TICKET-1005"/>
    <d v="2025-08-04T20:32:40"/>
    <d v="2025-08-10T09:52:42"/>
    <x v="1"/>
    <x v="2"/>
    <s v="Application X is crashing every time I open it. Sport should network realize relate very voice."/>
    <x v="2"/>
    <d v="1900-01-04T13:20:01"/>
    <d v="1900-01-10T02:40:03"/>
    <x v="1"/>
  </r>
  <r>
    <s v="TICKET-1006"/>
    <d v="2025-08-22T10:38:16"/>
    <d v="2025-08-23T14:11:49"/>
    <x v="3"/>
    <x v="5"/>
    <s v="I'm locked out of my account and can't reset my password. If rather year suffer wrong."/>
    <x v="2"/>
    <d v="1899-12-31T03:33:34"/>
    <d v="1900-01-01T07:07:08"/>
    <x v="0"/>
  </r>
  <r>
    <s v="TICKET-1007"/>
    <d v="2025-07-05T07:43:28"/>
    <d v="2025-07-09T20:26:19"/>
    <x v="1"/>
    <x v="6"/>
    <s v="Application X is crashing every time I open it. Here bill leg region training. Grow new may."/>
    <x v="2"/>
    <d v="1900-01-03T12:42:52"/>
    <d v="1900-01-08T01:25:43"/>
    <x v="4"/>
  </r>
  <r>
    <s v="TICKET-1008"/>
    <d v="2025-07-07T16:41:14"/>
    <d v="2025-07-08T10:04:28"/>
    <x v="2"/>
    <x v="6"/>
    <s v="My laptop's keyboard isn't working properly, some keys are stuck. Common maintain theory involve ok detail."/>
    <x v="1"/>
    <d v="1899-12-30T17:23:14"/>
    <d v="1899-12-31T10:46:29"/>
    <x v="1"/>
  </r>
  <r>
    <s v="TICKET-1009"/>
    <d v="2025-09-10T14:49:33"/>
    <d v="2025-09-11T19:58:37"/>
    <x v="1"/>
    <x v="2"/>
    <s v="Application X is crashing every time I open it. Responsibility again recently traditional word."/>
    <x v="1"/>
    <d v="1899-12-31T05:09:04"/>
    <d v="1900-01-01T10:18:09"/>
    <x v="3"/>
  </r>
  <r>
    <s v="TICKET-1010"/>
    <d v="2025-08-27T13:20:02"/>
    <d v="2025-09-02T16:28:31"/>
    <x v="1"/>
    <x v="7"/>
    <s v="Application X is crashing every time I open it. Structure this woman born."/>
    <x v="2"/>
    <d v="1900-01-05T03:08:30"/>
    <d v="1900-01-11T06:16:59"/>
    <x v="3"/>
  </r>
  <r>
    <s v="TICKET-1011"/>
    <d v="2025-06-24T01:56:19"/>
    <d v="2025-06-24T05:46:33"/>
    <x v="4"/>
    <x v="8"/>
    <s v="Can't connect to the Wi-Fi. It's showing 'No internet access'. Maintain without college strong few not week."/>
    <x v="0"/>
    <d v="1899-12-30T03:50:14"/>
    <d v="1899-12-30T07:40:28"/>
    <x v="5"/>
  </r>
  <r>
    <s v="TICKET-1012"/>
    <d v="2025-06-28T09:51:47"/>
    <d v="2025-06-29T02:58:41"/>
    <x v="4"/>
    <x v="0"/>
    <s v="Can't connect to the Wi-Fi. It's showing 'No internet access'. Official human task door century energy Mr."/>
    <x v="1"/>
    <d v="1899-12-30T17:06:54"/>
    <d v="1899-12-31T10:13:48"/>
    <x v="4"/>
  </r>
  <r>
    <s v="TICKET-1013"/>
    <d v="2025-07-22T09:08:54"/>
    <d v="2025-07-26T15:54:44"/>
    <x v="1"/>
    <x v="6"/>
    <s v="Application X is crashing every time I open it. Spring operation performance glass choice kind."/>
    <x v="2"/>
    <d v="1900-01-03T06:45:50"/>
    <d v="1900-01-07T13:31:40"/>
    <x v="5"/>
  </r>
  <r>
    <s v="TICKET-1014"/>
    <d v="2025-07-09T22:32:58"/>
    <d v="2025-07-10T01:11:32"/>
    <x v="1"/>
    <x v="1"/>
    <s v="Application X is crashing every time I open it. Summer yard maintain fire ask eight."/>
    <x v="0"/>
    <d v="1899-12-30T02:38:34"/>
    <d v="1899-12-30T05:17:07"/>
    <x v="3"/>
  </r>
  <r>
    <s v="TICKET-1015"/>
    <d v="2025-07-23T22:34:11"/>
    <d v="2025-07-24T01:20:01"/>
    <x v="1"/>
    <x v="9"/>
    <s v="Application X is crashing every time I open it. Least check between event. Can brother two form."/>
    <x v="0"/>
    <d v="1899-12-30T02:45:51"/>
    <d v="1899-12-30T05:31:41"/>
    <x v="3"/>
  </r>
  <r>
    <s v="TICKET-1016"/>
    <d v="2025-08-06T11:52:05"/>
    <d v="2025-08-11T08:18:53"/>
    <x v="1"/>
    <x v="6"/>
    <s v="Application X is crashing every time I open it. Resource in affect charge customer accept dream."/>
    <x v="2"/>
    <d v="1900-01-03T20:26:48"/>
    <d v="1900-01-08T16:53:35"/>
    <x v="3"/>
  </r>
  <r>
    <s v="TICKET-1017"/>
    <d v="2025-06-30T16:42:14"/>
    <d v="2025-07-02T20:37:19"/>
    <x v="5"/>
    <x v="0"/>
    <s v="Thought national word picture each deep."/>
    <x v="2"/>
    <d v="1900-01-01T03:55:05"/>
    <d v="1900-01-03T07:50:10"/>
    <x v="1"/>
  </r>
  <r>
    <s v="TICKET-1018"/>
    <d v="2025-06-30T23:03:04"/>
    <d v="2025-07-04T11:48:25"/>
    <x v="4"/>
    <x v="3"/>
    <s v="Can't connect to the Wi-Fi. It's showing 'No internet access'. Card series research else cup though artist."/>
    <x v="2"/>
    <d v="1900-01-02T12:45:21"/>
    <d v="1900-01-06T01:30:41"/>
    <x v="1"/>
  </r>
  <r>
    <s v="TICKET-1019"/>
    <d v="2025-07-03T07:27:15"/>
    <d v="2025-07-04T23:58:39"/>
    <x v="2"/>
    <x v="3"/>
    <s v="My laptop's keyboard isn't working properly, some keys are stuck. Young up grow after offer east region would."/>
    <x v="1"/>
    <d v="1899-12-31T16:31:24"/>
    <d v="1900-01-02T09:02:47"/>
    <x v="2"/>
  </r>
  <r>
    <s v="TICKET-1020"/>
    <d v="2025-06-23T22:49:38"/>
    <d v="2025-06-25T11:06:40"/>
    <x v="1"/>
    <x v="1"/>
    <s v="Application X is crashing every time I open it. Nice then management."/>
    <x v="1"/>
    <d v="1899-12-31T12:17:03"/>
    <d v="1900-01-02T00:34:05"/>
    <x v="1"/>
  </r>
  <r>
    <s v="TICKET-1021"/>
    <d v="2025-07-08T11:34:57"/>
    <d v="2025-07-10T09:25:12"/>
    <x v="1"/>
    <x v="0"/>
    <s v="Application X is crashing every time I open it. Water act involve follow hot."/>
    <x v="1"/>
    <d v="1899-12-31T21:50:16"/>
    <d v="1900-01-02T19:40:31"/>
    <x v="5"/>
  </r>
  <r>
    <s v="TICKET-1022"/>
    <d v="2025-06-22T23:29:46"/>
    <d v="2025-06-23T16:34:14"/>
    <x v="1"/>
    <x v="7"/>
    <s v="Application X is crashing every time I open it. Another such apply table let."/>
    <x v="1"/>
    <d v="1899-12-30T17:04:29"/>
    <d v="1899-12-31T10:08:57"/>
    <x v="6"/>
  </r>
  <r>
    <s v="TICKET-1023"/>
    <d v="2025-08-29T12:27:53"/>
    <d v="2025-08-31T04:23:45"/>
    <x v="1"/>
    <x v="4"/>
    <s v="Application X is crashing every time I open it. Senior per draw day mention sea quickly."/>
    <x v="1"/>
    <d v="1899-12-31T15:55:52"/>
    <d v="1900-01-02T07:51:44"/>
    <x v="0"/>
  </r>
  <r>
    <s v="TICKET-1024"/>
    <d v="2025-07-12T03:37:37"/>
    <d v="2025-07-16T09:42:35"/>
    <x v="4"/>
    <x v="3"/>
    <s v="Can't connect to the Wi-Fi. It's showing 'No internet access'. Race Republican expect east might collection."/>
    <x v="2"/>
    <d v="1900-01-03T06:04:58"/>
    <d v="1900-01-07T12:09:56"/>
    <x v="4"/>
  </r>
  <r>
    <s v="TICKET-1025"/>
    <d v="2025-07-13T05:42:50"/>
    <d v="2025-07-14T19:35:59"/>
    <x v="1"/>
    <x v="1"/>
    <s v="Application X is crashing every time I open it. Total maintain service writer."/>
    <x v="1"/>
    <d v="1899-12-31T13:53:09"/>
    <d v="1900-01-02T03:46:18"/>
    <x v="6"/>
  </r>
  <r>
    <s v="TICKET-1026"/>
    <d v="2025-06-24T00:26:51"/>
    <d v="2025-06-24T12:14:52"/>
    <x v="4"/>
    <x v="4"/>
    <s v="Can't connect to the Wi-Fi. It's showing 'No internet access'. Individual herself decide generation."/>
    <x v="0"/>
    <d v="1899-12-30T11:48:01"/>
    <d v="1899-12-30T23:36:01"/>
    <x v="5"/>
  </r>
  <r>
    <s v="TICKET-1027"/>
    <d v="2025-07-03T19:29:05"/>
    <d v="2025-07-05T17:15:14"/>
    <x v="6"/>
    <x v="1"/>
    <s v="Yourself floor foot character choose. Brother prepare but film key name."/>
    <x v="1"/>
    <d v="1899-12-31T21:46:09"/>
    <d v="1900-01-02T19:32:17"/>
    <x v="2"/>
  </r>
  <r>
    <s v="TICKET-1028"/>
    <d v="2025-09-15T13:02:57"/>
    <d v="2025-09-17T07:57:18"/>
    <x v="0"/>
    <x v="0"/>
    <s v="Successful radio play network yet. Fill director direction ready white."/>
    <x v="2"/>
    <d v="1899-12-31T18:54:21"/>
    <d v="1900-01-02T13:48:41"/>
    <x v="1"/>
  </r>
  <r>
    <s v="TICKET-1029"/>
    <d v="2025-08-27T21:57:13"/>
    <d v="2025-08-29T06:38:57"/>
    <x v="1"/>
    <x v="2"/>
    <s v="Application X is crashing every time I open it. Southern beat general first much hotel agency."/>
    <x v="1"/>
    <d v="1899-12-31T08:41:44"/>
    <d v="1900-01-01T17:23:28"/>
    <x v="3"/>
  </r>
  <r>
    <s v="TICKET-1030"/>
    <d v="2025-08-30T20:17:04"/>
    <d v="2025-09-06T02:38:11"/>
    <x v="4"/>
    <x v="2"/>
    <s v="Can't connect to the Wi-Fi. It's showing 'No internet access'. Cup government by life reduce each customer."/>
    <x v="2"/>
    <d v="1900-01-05T06:21:07"/>
    <d v="1900-01-11T12:42:13"/>
    <x v="4"/>
  </r>
  <r>
    <s v="TICKET-1031"/>
    <d v="2025-08-24T23:58:58"/>
    <d v="2025-08-25T07:35:19"/>
    <x v="1"/>
    <x v="1"/>
    <s v="Application X is crashing every time I open it. Market growth film."/>
    <x v="0"/>
    <d v="1899-12-30T07:36:22"/>
    <d v="1899-12-30T15:12:43"/>
    <x v="6"/>
  </r>
  <r>
    <s v="TICKET-1032"/>
    <d v="2025-07-11T18:10:39"/>
    <d v="2025-07-17T06:40:38"/>
    <x v="4"/>
    <x v="6"/>
    <s v="Can't connect to the Wi-Fi. It's showing 'No internet access'. Could north state feel others participant."/>
    <x v="2"/>
    <d v="1900-01-04T12:29:59"/>
    <d v="1900-01-10T00:59:58"/>
    <x v="0"/>
  </r>
  <r>
    <s v="TICKET-1033"/>
    <d v="2025-09-04T19:33:03"/>
    <d v="2025-09-10T05:28:47"/>
    <x v="6"/>
    <x v="5"/>
    <s v="Follow chair add finally these plan staff. Across shoulder school free."/>
    <x v="2"/>
    <d v="1900-01-04T09:55:45"/>
    <d v="1900-01-09T19:51:29"/>
    <x v="2"/>
  </r>
  <r>
    <s v="TICKET-1034"/>
    <d v="2025-08-24T17:06:08"/>
    <d v="2025-08-30T19:43:21"/>
    <x v="1"/>
    <x v="4"/>
    <s v="Application X is crashing every time I open it. Bag half join treat water by affect."/>
    <x v="2"/>
    <d v="1900-01-05T02:37:13"/>
    <d v="1900-01-11T05:14:25"/>
    <x v="6"/>
  </r>
  <r>
    <s v="TICKET-1035"/>
    <d v="2025-06-30T17:48:03"/>
    <d v="2025-07-01T19:36:47"/>
    <x v="2"/>
    <x v="1"/>
    <s v="My laptop's keyboard isn't working properly, some keys are stuck. Science bad news pressure anything probably save."/>
    <x v="2"/>
    <d v="1899-12-31T01:48:44"/>
    <d v="1900-01-01T03:37:28"/>
    <x v="1"/>
  </r>
  <r>
    <s v="TICKET-1036"/>
    <d v="2025-09-09T08:46:26"/>
    <d v="2025-09-13T06:18:49"/>
    <x v="1"/>
    <x v="8"/>
    <s v="Application X is crashing every time I open it. Fund project find law identify close worker."/>
    <x v="2"/>
    <d v="1900-01-02T21:32:23"/>
    <d v="1900-01-06T19:04:46"/>
    <x v="5"/>
  </r>
  <r>
    <s v="TICKET-1037"/>
    <d v="2025-08-11T10:56:36"/>
    <d v="2025-08-17T16:07:19"/>
    <x v="0"/>
    <x v="7"/>
    <s v="Rate play media air. Trade thank hundred choice reduce remember possible us."/>
    <x v="2"/>
    <d v="1900-01-05T05:10:43"/>
    <d v="1900-01-11T10:21:26"/>
    <x v="1"/>
  </r>
  <r>
    <s v="TICKET-1038"/>
    <d v="2025-09-01T16:20:12"/>
    <d v="2025-09-02T02:43:04"/>
    <x v="1"/>
    <x v="5"/>
    <s v="Application X is crashing every time I open it. Effort avoid door shoulder cut."/>
    <x v="1"/>
    <d v="1899-12-30T10:22:52"/>
    <d v="1899-12-30T20:45:44"/>
    <x v="1"/>
  </r>
  <r>
    <s v="TICKET-1039"/>
    <d v="2025-08-14T20:30:07"/>
    <d v="2025-08-15T08:44:19"/>
    <x v="3"/>
    <x v="6"/>
    <s v="I'm locked out of my account and can't reset my password. Point fine stop radio chair tree career scene."/>
    <x v="1"/>
    <d v="1899-12-30T12:14:11"/>
    <d v="1899-12-31T00:28:23"/>
    <x v="2"/>
  </r>
  <r>
    <s v="TICKET-1040"/>
    <d v="2025-09-05T05:49:39"/>
    <d v="2025-09-06T22:59:27"/>
    <x v="4"/>
    <x v="0"/>
    <s v="Can't connect to the Wi-Fi. It's showing 'No internet access'. Simple practice operation move put."/>
    <x v="1"/>
    <d v="1899-12-31T17:09:49"/>
    <d v="1900-01-02T10:19:37"/>
    <x v="0"/>
  </r>
  <r>
    <s v="TICKET-1041"/>
    <d v="2025-09-13T18:26:30"/>
    <d v="2025-09-14T19:22:39"/>
    <x v="2"/>
    <x v="1"/>
    <s v="My laptop's keyboard isn't working properly, some keys are stuck. Firm discuss audience say amount."/>
    <x v="2"/>
    <d v="1899-12-31T00:56:09"/>
    <d v="1900-01-01T01:52:18"/>
    <x v="4"/>
  </r>
  <r>
    <s v="TICKET-1042"/>
    <d v="2025-07-28T00:42:24"/>
    <d v="2025-08-03T11:00:27"/>
    <x v="6"/>
    <x v="9"/>
    <s v="Physical business information._x000a_Activity else house another. Still protect admit answer."/>
    <x v="2"/>
    <d v="1900-01-05T10:18:03"/>
    <d v="1900-01-11T20:36:06"/>
    <x v="1"/>
  </r>
  <r>
    <s v="TICKET-1043"/>
    <d v="2025-07-30T21:37:33"/>
    <d v="2025-07-30T23:09:44"/>
    <x v="1"/>
    <x v="6"/>
    <s v="Application X is crashing every time I open it. Anything despite not."/>
    <x v="3"/>
    <d v="1899-12-30T01:32:12"/>
    <d v="1899-12-30T03:04:23"/>
    <x v="3"/>
  </r>
  <r>
    <s v="TICKET-1044"/>
    <d v="2025-08-03T03:02:33"/>
    <d v="2025-08-03T07:10:24"/>
    <x v="2"/>
    <x v="5"/>
    <s v="My laptop's keyboard isn't working properly, some keys are stuck. Film answer tax different carry represent."/>
    <x v="0"/>
    <d v="1899-12-30T04:07:51"/>
    <d v="1899-12-30T08:15:42"/>
    <x v="6"/>
  </r>
  <r>
    <s v="TICKET-1045"/>
    <d v="2025-07-05T09:41:54"/>
    <d v="2025-07-05T21:04:57"/>
    <x v="1"/>
    <x v="1"/>
    <s v="Application X is crashing every time I open it. American computer let go event."/>
    <x v="0"/>
    <d v="1899-12-30T11:23:03"/>
    <d v="1899-12-30T22:46:07"/>
    <x v="4"/>
  </r>
  <r>
    <s v="TICKET-1046"/>
    <d v="2025-08-30T13:43:06"/>
    <d v="2025-09-01T11:41:59"/>
    <x v="4"/>
    <x v="4"/>
    <s v="Can't connect to the Wi-Fi. It's showing 'No internet access'. Build oil wait community less happen."/>
    <x v="1"/>
    <d v="1899-12-31T21:58:53"/>
    <d v="1900-01-02T19:57:46"/>
    <x v="4"/>
  </r>
  <r>
    <s v="TICKET-1047"/>
    <d v="2025-06-22T15:23:41"/>
    <d v="2025-06-27T12:57:19"/>
    <x v="3"/>
    <x v="1"/>
    <s v="I'm locked out of my account and can't reset my password. Decide stuff agree national politics current son."/>
    <x v="2"/>
    <d v="1900-01-03T21:33:39"/>
    <d v="1900-01-08T19:07:18"/>
    <x v="6"/>
  </r>
  <r>
    <s v="TICKET-1048"/>
    <d v="2025-07-03T03:12:43"/>
    <d v="2025-07-03T15:39:54"/>
    <x v="4"/>
    <x v="1"/>
    <s v="Can't connect to the Wi-Fi. It's showing 'No internet access'. Phone interview worker could."/>
    <x v="1"/>
    <d v="1899-12-30T12:27:11"/>
    <d v="1899-12-31T00:54:23"/>
    <x v="2"/>
  </r>
  <r>
    <s v="TICKET-1049"/>
    <d v="2025-08-09T17:51:19"/>
    <d v="2025-08-10T20:32:46"/>
    <x v="4"/>
    <x v="1"/>
    <s v="Can't connect to the Wi-Fi. It's showing 'No internet access'. Together life least mission."/>
    <x v="1"/>
    <d v="1899-12-31T02:41:27"/>
    <d v="1900-01-01T05:22:53"/>
    <x v="4"/>
  </r>
  <r>
    <s v="TICKET-1050"/>
    <d v="2025-07-23T08:22:42"/>
    <d v="2025-07-27T23:09:54"/>
    <x v="0"/>
    <x v="3"/>
    <s v="If forget newspaper behavior note put. Almost affect entire. Trial set capital real."/>
    <x v="2"/>
    <d v="1900-01-03T14:47:12"/>
    <d v="1900-01-08T05:34:24"/>
    <x v="3"/>
  </r>
  <r>
    <s v="TICKET-1051"/>
    <d v="2025-07-31T19:51:43"/>
    <d v="2025-08-07T01:25:06"/>
    <x v="1"/>
    <x v="1"/>
    <s v="Application X is crashing every time I open it. My sound short."/>
    <x v="2"/>
    <d v="1900-01-05T05:33:22"/>
    <d v="1900-01-11T11:06:45"/>
    <x v="2"/>
  </r>
  <r>
    <s v="TICKET-1052"/>
    <d v="2025-06-29T02:21:50"/>
    <d v="2025-06-29T17:27:46"/>
    <x v="1"/>
    <x v="3"/>
    <s v="Application X is crashing every time I open it. Where culture site value set."/>
    <x v="1"/>
    <d v="1899-12-30T15:05:56"/>
    <d v="1899-12-31T06:11:52"/>
    <x v="6"/>
  </r>
  <r>
    <s v="TICKET-1053"/>
    <d v="2025-08-15T20:41:48"/>
    <d v="2025-08-16T09:53:39"/>
    <x v="1"/>
    <x v="1"/>
    <s v="Application X is crashing every time I open it. Go claim billion small experience old."/>
    <x v="1"/>
    <d v="1899-12-30T13:11:50"/>
    <d v="1899-12-31T02:23:41"/>
    <x v="0"/>
  </r>
  <r>
    <s v="TICKET-1054"/>
    <d v="2025-07-15T09:00:06"/>
    <d v="2025-07-15T19:03:10"/>
    <x v="4"/>
    <x v="2"/>
    <s v="Can't connect to the Wi-Fi. It's showing 'No internet access'. Option name including."/>
    <x v="0"/>
    <d v="1899-12-30T10:03:03"/>
    <d v="1899-12-30T20:06:07"/>
    <x v="5"/>
  </r>
  <r>
    <s v="TICKET-1055"/>
    <d v="2025-06-21T01:06:48"/>
    <d v="2025-06-22T17:47:48"/>
    <x v="3"/>
    <x v="1"/>
    <s v="I'm locked out of my account and can't reset my password. Idea enter expert decision something."/>
    <x v="1"/>
    <d v="1899-12-31T16:41:00"/>
    <d v="1900-01-02T09:22:00"/>
    <x v="4"/>
  </r>
  <r>
    <s v="TICKET-1056"/>
    <d v="2025-08-02T07:52:13"/>
    <d v="2025-08-03T14:28:34"/>
    <x v="0"/>
    <x v="3"/>
    <s v="Through culture similar finally. Oil world money about fine street small."/>
    <x v="1"/>
    <d v="1899-12-31T06:36:21"/>
    <d v="1900-01-01T13:12:42"/>
    <x v="4"/>
  </r>
  <r>
    <s v="TICKET-1057"/>
    <d v="2025-07-22T08:29:35"/>
    <d v="2025-07-29T06:48:58"/>
    <x v="5"/>
    <x v="6"/>
    <s v="Weight go sort sign law response since. Sister other actually Mrs fight everything get."/>
    <x v="2"/>
    <d v="1900-01-05T22:19:23"/>
    <d v="1900-01-12T20:38:46"/>
    <x v="5"/>
  </r>
  <r>
    <s v="TICKET-1058"/>
    <d v="2025-08-06T13:42:51"/>
    <d v="2025-08-08T07:16:37"/>
    <x v="0"/>
    <x v="6"/>
    <s v="Particular ask company nearly exist exactly friend."/>
    <x v="1"/>
    <d v="1899-12-31T17:33:46"/>
    <d v="1900-01-02T11:07:33"/>
    <x v="3"/>
  </r>
  <r>
    <s v="TICKET-1059"/>
    <d v="2025-06-19T06:37:43"/>
    <d v="2025-06-20T14:17:59"/>
    <x v="1"/>
    <x v="5"/>
    <s v="Application X is crashing every time I open it. Skin subject purpose baby training."/>
    <x v="1"/>
    <d v="1899-12-31T07:40:16"/>
    <d v="1900-01-01T15:20:31"/>
    <x v="2"/>
  </r>
  <r>
    <s v="TICKET-1060"/>
    <d v="2025-08-27T11:05:38"/>
    <d v="2025-08-28T11:49:50"/>
    <x v="2"/>
    <x v="3"/>
    <s v="My laptop's keyboard isn't working properly, some keys are stuck. Than none office improve."/>
    <x v="1"/>
    <d v="1899-12-31T00:44:12"/>
    <d v="1900-01-01T01:28:25"/>
    <x v="3"/>
  </r>
  <r>
    <s v="TICKET-1061"/>
    <d v="2025-09-10T20:19:38"/>
    <d v="2025-09-12T10:03:29"/>
    <x v="1"/>
    <x v="0"/>
    <s v="Application X is crashing every time I open it. With because article scene father black."/>
    <x v="1"/>
    <d v="1899-12-31T13:43:51"/>
    <d v="1900-01-02T03:27:42"/>
    <x v="3"/>
  </r>
  <r>
    <s v="TICKET-1062"/>
    <d v="2025-07-01T16:39:40"/>
    <d v="2025-07-02T16:21:43"/>
    <x v="1"/>
    <x v="7"/>
    <s v="Application X is crashing every time I open it. Food pass energy fund need read anything."/>
    <x v="1"/>
    <d v="1899-12-30T23:42:02"/>
    <d v="1899-12-31T23:24:05"/>
    <x v="5"/>
  </r>
  <r>
    <s v="TICKET-1063"/>
    <d v="2025-08-02T07:57:09"/>
    <d v="2025-08-02T15:55:37"/>
    <x v="3"/>
    <x v="7"/>
    <s v="I'm locked out of my account and can't reset my password. Agreement news significant cultural agree."/>
    <x v="0"/>
    <d v="1899-12-30T07:58:28"/>
    <d v="1899-12-30T15:56:55"/>
    <x v="4"/>
  </r>
  <r>
    <s v="TICKET-1064"/>
    <d v="2025-09-10T05:58:12"/>
    <d v="2025-09-10T14:01:55"/>
    <x v="3"/>
    <x v="4"/>
    <s v="I'm locked out of my account and can't reset my password. Especially under always tend teacher build."/>
    <x v="1"/>
    <d v="1899-12-30T08:03:43"/>
    <d v="1899-12-30T16:07:26"/>
    <x v="3"/>
  </r>
  <r>
    <s v="TICKET-1065"/>
    <d v="2025-08-17T19:11:16"/>
    <d v="2025-08-18T09:55:36"/>
    <x v="4"/>
    <x v="0"/>
    <s v="Can't connect to the Wi-Fi. It's showing 'No internet access'. Child as debate economy."/>
    <x v="1"/>
    <d v="1899-12-30T14:44:21"/>
    <d v="1899-12-31T05:28:41"/>
    <x v="6"/>
  </r>
  <r>
    <s v="TICKET-1066"/>
    <d v="2025-07-18T06:21:58"/>
    <d v="2025-07-23T20:05:28"/>
    <x v="2"/>
    <x v="2"/>
    <s v="My laptop's keyboard isn't working properly, some keys are stuck. Someone poor mission fill free."/>
    <x v="2"/>
    <d v="1900-01-04T13:43:31"/>
    <d v="1900-01-10T03:27:01"/>
    <x v="0"/>
  </r>
  <r>
    <s v="TICKET-1067"/>
    <d v="2025-07-06T02:18:19"/>
    <d v="2025-07-07T13:03:00"/>
    <x v="4"/>
    <x v="7"/>
    <s v="Can't connect to the Wi-Fi. It's showing 'No internet access'. Represent safe scene wall dog."/>
    <x v="1"/>
    <d v="1899-12-31T10:44:41"/>
    <d v="1900-01-01T21:29:23"/>
    <x v="6"/>
  </r>
  <r>
    <s v="TICKET-1068"/>
    <d v="2025-08-25T22:46:50"/>
    <d v="2025-08-29T05:16:59"/>
    <x v="1"/>
    <x v="5"/>
    <s v="Application X is crashing every time I open it. Claim success those baby."/>
    <x v="2"/>
    <d v="1900-01-02T06:30:10"/>
    <d v="1900-01-05T13:00:20"/>
    <x v="1"/>
  </r>
  <r>
    <s v="TICKET-1069"/>
    <d v="2025-09-07T00:30:29"/>
    <d v="2025-09-08T00:37:01"/>
    <x v="1"/>
    <x v="4"/>
    <s v="Application X is crashing every time I open it. Term lot their. Dark itself deal race Democrat."/>
    <x v="1"/>
    <d v="1899-12-31T00:06:32"/>
    <d v="1900-01-01T00:13:04"/>
    <x v="6"/>
  </r>
  <r>
    <s v="TICKET-1070"/>
    <d v="2025-07-21T21:58:21"/>
    <d v="2025-07-22T01:11:24"/>
    <x v="2"/>
    <x v="7"/>
    <s v="My laptop's keyboard isn't working properly, some keys are stuck. Bad past glass strategy. Above skin station."/>
    <x v="3"/>
    <d v="1899-12-30T03:13:03"/>
    <d v="1899-12-30T06:26:06"/>
    <x v="1"/>
  </r>
  <r>
    <s v="TICKET-1071"/>
    <d v="2025-07-24T12:55:27"/>
    <d v="2025-07-25T08:58:26"/>
    <x v="1"/>
    <x v="2"/>
    <s v="Application X is crashing every time I open it. Tv control generation away public remain."/>
    <x v="1"/>
    <d v="1899-12-30T20:02:59"/>
    <d v="1899-12-31T16:05:58"/>
    <x v="2"/>
  </r>
  <r>
    <s v="TICKET-1072"/>
    <d v="2025-06-18T07:42:24"/>
    <d v="2025-06-19T21:32:31"/>
    <x v="4"/>
    <x v="7"/>
    <s v="Can't connect to the Wi-Fi. It's showing 'No internet access'. Alone skill foot benefit."/>
    <x v="1"/>
    <d v="1899-12-31T13:50:07"/>
    <d v="1900-01-02T03:40:14"/>
    <x v="3"/>
  </r>
  <r>
    <s v="TICKET-1073"/>
    <d v="2025-09-03T02:34:13"/>
    <d v="2025-09-03T10:40:49"/>
    <x v="0"/>
    <x v="8"/>
    <s v="Media respond them indicate. Up movie television stop. Garden ten city already close."/>
    <x v="0"/>
    <d v="1899-12-30T08:06:35"/>
    <d v="1899-12-30T16:13:10"/>
    <x v="3"/>
  </r>
  <r>
    <s v="TICKET-1074"/>
    <d v="2025-08-08T23:17:56"/>
    <d v="2025-08-14T23:19:46"/>
    <x v="5"/>
    <x v="1"/>
    <s v="Lay support mouth control understand could. Husband for evening upon involve."/>
    <x v="2"/>
    <d v="1900-01-05T00:01:50"/>
    <d v="1900-01-11T00:03:40"/>
    <x v="0"/>
  </r>
  <r>
    <s v="TICKET-1075"/>
    <d v="2025-08-28T01:48:14"/>
    <d v="2025-08-28T09:40:58"/>
    <x v="0"/>
    <x v="7"/>
    <s v="Company month civil season include. Onto life for both little."/>
    <x v="0"/>
    <d v="1899-12-30T07:52:44"/>
    <d v="1899-12-30T15:45:27"/>
    <x v="2"/>
  </r>
  <r>
    <s v="TICKET-1076"/>
    <d v="2025-07-20T10:31:23"/>
    <d v="2025-07-20T14:11:12"/>
    <x v="1"/>
    <x v="1"/>
    <s v="Application X is crashing every time I open it. Candidate push mind exactly feel."/>
    <x v="0"/>
    <d v="1899-12-30T03:39:49"/>
    <d v="1899-12-30T07:19:38"/>
    <x v="6"/>
  </r>
  <r>
    <s v="TICKET-1077"/>
    <d v="2025-07-17T15:42:38"/>
    <d v="2025-07-17T22:40:18"/>
    <x v="5"/>
    <x v="5"/>
    <s v="Writer city suffer within important recently difference. Wait only relationship free."/>
    <x v="0"/>
    <d v="1899-12-30T06:57:40"/>
    <d v="1899-12-30T13:55:21"/>
    <x v="2"/>
  </r>
  <r>
    <s v="TICKET-1078"/>
    <d v="2025-07-23T19:59:04"/>
    <d v="2025-07-26T11:29:43"/>
    <x v="1"/>
    <x v="1"/>
    <s v="Application X is crashing every time I open it. Form customer bill interest remember which."/>
    <x v="2"/>
    <d v="1900-01-01T15:30:39"/>
    <d v="1900-01-04T07:01:18"/>
    <x v="3"/>
  </r>
  <r>
    <s v="TICKET-1079"/>
    <d v="2025-06-27T20:58:34"/>
    <d v="2025-07-01T20:08:25"/>
    <x v="4"/>
    <x v="1"/>
    <s v="Can't connect to the Wi-Fi. It's showing 'No internet access'. Agree begin guess ask choice low themselves born."/>
    <x v="2"/>
    <d v="1900-01-02T23:09:50"/>
    <d v="1900-01-06T22:19:40"/>
    <x v="0"/>
  </r>
  <r>
    <s v="TICKET-1080"/>
    <d v="2025-06-19T16:43:35"/>
    <d v="2025-06-25T22:32:38"/>
    <x v="1"/>
    <x v="6"/>
    <s v="Application X is crashing every time I open it. Center worry nor whole."/>
    <x v="2"/>
    <d v="1900-01-05T05:49:04"/>
    <d v="1900-01-11T11:38:07"/>
    <x v="2"/>
  </r>
  <r>
    <s v="TICKET-1081"/>
    <d v="2025-06-27T00:50:45"/>
    <d v="2025-07-01T10:00:38"/>
    <x v="3"/>
    <x v="3"/>
    <s v="I'm locked out of my account and can't reset my password. Miss son responsibility hour."/>
    <x v="2"/>
    <d v="1900-01-03T09:09:53"/>
    <d v="1900-01-07T18:19:45"/>
    <x v="0"/>
  </r>
  <r>
    <s v="TICKET-1082"/>
    <d v="2025-08-10T11:17:27"/>
    <d v="2025-08-12T08:21:18"/>
    <x v="1"/>
    <x v="1"/>
    <s v="Application X is crashing every time I open it. Develop course foreign no either."/>
    <x v="1"/>
    <d v="1899-12-31T21:03:50"/>
    <d v="1900-01-02T18:07:41"/>
    <x v="6"/>
  </r>
  <r>
    <s v="TICKET-1083"/>
    <d v="2025-07-29T01:49:12"/>
    <d v="2025-07-31T13:26:15"/>
    <x v="6"/>
    <x v="4"/>
    <s v="Public husband return country service very. Be exactly time firm yard price bad."/>
    <x v="2"/>
    <d v="1900-01-01T11:37:04"/>
    <d v="1900-01-03T23:14:07"/>
    <x v="5"/>
  </r>
  <r>
    <s v="TICKET-1084"/>
    <d v="2025-07-06T10:09:04"/>
    <d v="2025-07-11T00:20:43"/>
    <x v="2"/>
    <x v="9"/>
    <s v="My laptop's keyboard isn't working properly, some keys are stuck. Perform author more owner girl message."/>
    <x v="2"/>
    <d v="1900-01-03T14:11:39"/>
    <d v="1900-01-08T04:23:18"/>
    <x v="6"/>
  </r>
  <r>
    <s v="TICKET-1085"/>
    <d v="2025-07-30T04:23:34"/>
    <d v="2025-07-30T13:08:10"/>
    <x v="3"/>
    <x v="5"/>
    <s v="I'm locked out of my account and can't reset my password. Church stop environment."/>
    <x v="0"/>
    <d v="1899-12-30T08:44:37"/>
    <d v="1899-12-30T17:29:13"/>
    <x v="3"/>
  </r>
  <r>
    <s v="TICKET-1086"/>
    <d v="2025-08-23T05:18:39"/>
    <d v="2025-08-24T16:37:11"/>
    <x v="1"/>
    <x v="7"/>
    <s v="Application X is crashing every time I open it. Everyone body modern feeling shake loss."/>
    <x v="1"/>
    <d v="1899-12-31T11:18:31"/>
    <d v="1900-01-01T22:37:03"/>
    <x v="4"/>
  </r>
  <r>
    <s v="TICKET-1087"/>
    <d v="2025-07-10T03:11:23"/>
    <d v="2025-07-10T23:12:02"/>
    <x v="2"/>
    <x v="2"/>
    <s v="My laptop's keyboard isn't working properly, some keys are stuck. Whole material thus despite firm more."/>
    <x v="1"/>
    <d v="1899-12-30T20:00:39"/>
    <d v="1899-12-31T16:01:19"/>
    <x v="2"/>
  </r>
  <r>
    <s v="TICKET-1088"/>
    <d v="2025-09-12T18:58:40"/>
    <d v="2025-09-14T02:31:59"/>
    <x v="1"/>
    <x v="5"/>
    <s v="Application X is crashing every time I open it. Until statement century seat vote never."/>
    <x v="1"/>
    <d v="1899-12-31T07:33:18"/>
    <d v="1900-01-01T15:06:37"/>
    <x v="0"/>
  </r>
  <r>
    <s v="TICKET-1089"/>
    <d v="2025-09-02T15:20:46"/>
    <d v="2025-09-08T16:21:32"/>
    <x v="1"/>
    <x v="5"/>
    <s v="Application X is crashing every time I open it. Big season the."/>
    <x v="2"/>
    <d v="1900-01-05T01:00:46"/>
    <d v="1900-01-11T02:01:32"/>
    <x v="5"/>
  </r>
  <r>
    <s v="TICKET-1090"/>
    <d v="2025-07-12T12:04:37"/>
    <d v="2025-07-13T06:22:20"/>
    <x v="1"/>
    <x v="0"/>
    <s v="Application X is crashing every time I open it. Usually career attention realize."/>
    <x v="1"/>
    <d v="1899-12-30T18:17:43"/>
    <d v="1899-12-31T12:35:26"/>
    <x v="4"/>
  </r>
  <r>
    <s v="TICKET-1091"/>
    <d v="2025-08-06T04:36:43"/>
    <d v="2025-08-12T11:09:01"/>
    <x v="1"/>
    <x v="5"/>
    <s v="Application X is crashing every time I open it. Firm tonight statement feel Mrs music."/>
    <x v="2"/>
    <d v="1900-01-05T06:32:17"/>
    <d v="1900-01-11T13:04:35"/>
    <x v="3"/>
  </r>
  <r>
    <s v="TICKET-1092"/>
    <d v="2025-06-24T12:26:10"/>
    <d v="2025-06-26T10:49:37"/>
    <x v="4"/>
    <x v="3"/>
    <s v="Can't connect to the Wi-Fi. It's showing 'No internet access'. Life change act. Through imagine again whole."/>
    <x v="1"/>
    <d v="1899-12-31T22:23:28"/>
    <d v="1900-01-02T20:46:55"/>
    <x v="5"/>
  </r>
  <r>
    <s v="TICKET-1093"/>
    <d v="2025-06-25T21:27:43"/>
    <d v="2025-06-29T07:08:52"/>
    <x v="0"/>
    <x v="3"/>
    <s v="Including development attack wide. Concern his environment attack program rest team."/>
    <x v="2"/>
    <d v="1900-01-02T09:41:09"/>
    <d v="1900-01-05T19:22:17"/>
    <x v="3"/>
  </r>
  <r>
    <s v="TICKET-1094"/>
    <d v="2025-07-25T15:06:41"/>
    <d v="2025-07-30T00:43:14"/>
    <x v="3"/>
    <x v="7"/>
    <s v="I'm locked out of my account and can't reset my password. Another collection another many."/>
    <x v="2"/>
    <d v="1900-01-03T09:36:33"/>
    <d v="1900-01-07T19:13:07"/>
    <x v="0"/>
  </r>
  <r>
    <s v="TICKET-1095"/>
    <d v="2025-07-25T17:47:29"/>
    <d v="2025-07-26T21:49:20"/>
    <x v="0"/>
    <x v="0"/>
    <s v="Compare or at environmental. Six what them fall. Husband certain institution phone resource blood."/>
    <x v="1"/>
    <d v="1899-12-31T04:01:52"/>
    <d v="1900-01-01T08:03:43"/>
    <x v="0"/>
  </r>
  <r>
    <s v="TICKET-1096"/>
    <d v="2025-08-12T17:49:45"/>
    <d v="2025-08-14T13:34:20"/>
    <x v="3"/>
    <x v="4"/>
    <s v="I'm locked out of my account and can't reset my password. Medical let door front. Law end always."/>
    <x v="2"/>
    <d v="1899-12-31T19:44:35"/>
    <d v="1900-01-02T15:29:10"/>
    <x v="5"/>
  </r>
  <r>
    <s v="TICKET-1097"/>
    <d v="2025-07-25T21:16:19"/>
    <d v="2025-08-01T13:28:59"/>
    <x v="2"/>
    <x v="5"/>
    <s v="My laptop's keyboard isn't working properly, some keys are stuck. Rich fire power city. Water career next relate."/>
    <x v="2"/>
    <d v="1900-01-05T16:12:39"/>
    <d v="1900-01-12T08:25:19"/>
    <x v="0"/>
  </r>
  <r>
    <s v="TICKET-1098"/>
    <d v="2025-09-14T19:22:48"/>
    <d v="2025-09-14T22:26:30"/>
    <x v="1"/>
    <x v="1"/>
    <s v="Application X is crashing every time I open it. Result happy song want finish stuff."/>
    <x v="0"/>
    <d v="1899-12-30T03:03:42"/>
    <d v="1899-12-30T06:07:24"/>
    <x v="6"/>
  </r>
  <r>
    <s v="TICKET-1099"/>
    <d v="2025-07-31T00:15:23"/>
    <d v="2025-07-31T09:04:04"/>
    <x v="2"/>
    <x v="4"/>
    <s v="My laptop's keyboard isn't working properly, some keys are stuck. Themselves big matter happy small."/>
    <x v="1"/>
    <d v="1899-12-30T08:48:41"/>
    <d v="1899-12-30T17:37:22"/>
    <x v="2"/>
  </r>
  <r>
    <s v="TICKET-1100"/>
    <d v="2025-08-17T13:13:44"/>
    <d v="2025-08-17T15:17:50"/>
    <x v="1"/>
    <x v="5"/>
    <s v="Application X is crashing every time I open it. Agent will respond help."/>
    <x v="3"/>
    <d v="1899-12-30T02:04:07"/>
    <d v="1899-12-30T04:08:13"/>
    <x v="6"/>
  </r>
  <r>
    <s v="TICKET-1101"/>
    <d v="2025-09-11T12:55:11"/>
    <d v="2025-09-13T06:31:30"/>
    <x v="1"/>
    <x v="7"/>
    <s v="Application X is crashing every time I open it. Short commercial everybody difficult change."/>
    <x v="1"/>
    <d v="1899-12-31T17:36:19"/>
    <d v="1900-01-02T11:12:38"/>
    <x v="2"/>
  </r>
  <r>
    <s v="TICKET-1102"/>
    <d v="2025-07-01T08:49:20"/>
    <d v="2025-07-02T11:20:43"/>
    <x v="0"/>
    <x v="5"/>
    <s v="Any today within none hot again green. Remember attack event view father."/>
    <x v="2"/>
    <d v="1899-12-31T02:31:23"/>
    <d v="1900-01-01T05:02:46"/>
    <x v="5"/>
  </r>
  <r>
    <s v="TICKET-1103"/>
    <d v="2025-06-25T22:36:03"/>
    <d v="2025-06-26T09:59:45"/>
    <x v="1"/>
    <x v="9"/>
    <s v="Application X is crashing every time I open it. Represent senior his finish include nothing."/>
    <x v="1"/>
    <d v="1899-12-30T11:23:42"/>
    <d v="1899-12-30T22:47:24"/>
    <x v="3"/>
  </r>
  <r>
    <s v="TICKET-1104"/>
    <d v="2025-09-06T06:19:01"/>
    <d v="2025-09-06T10:36:27"/>
    <x v="6"/>
    <x v="9"/>
    <s v="She certain boy build. Test bag country president environment."/>
    <x v="0"/>
    <d v="1899-12-30T04:17:26"/>
    <d v="1899-12-30T08:34:52"/>
    <x v="4"/>
  </r>
  <r>
    <s v="TICKET-1105"/>
    <d v="2025-08-03T06:45:06"/>
    <d v="2025-08-05T16:41:24"/>
    <x v="4"/>
    <x v="8"/>
    <s v="Can't connect to the Wi-Fi. It's showing 'No internet access'. Hair job save son."/>
    <x v="2"/>
    <d v="1900-01-01T09:56:17"/>
    <d v="1900-01-03T19:52:35"/>
    <x v="6"/>
  </r>
  <r>
    <s v="TICKET-1106"/>
    <d v="2025-08-17T12:18:02"/>
    <d v="2025-08-18T18:29:37"/>
    <x v="6"/>
    <x v="2"/>
    <s v="Growth middle establish public."/>
    <x v="1"/>
    <d v="1899-12-31T06:11:36"/>
    <d v="1900-01-01T12:23:12"/>
    <x v="6"/>
  </r>
  <r>
    <s v="TICKET-1107"/>
    <d v="2025-07-28T14:54:12"/>
    <d v="2025-07-31T08:11:11"/>
    <x v="2"/>
    <x v="1"/>
    <s v="My laptop's keyboard isn't working properly, some keys are stuck. Produce require line letter listen often."/>
    <x v="2"/>
    <d v="1900-01-01T17:16:59"/>
    <d v="1900-01-04T10:33:59"/>
    <x v="1"/>
  </r>
  <r>
    <s v="TICKET-1108"/>
    <d v="2025-07-12T06:57:35"/>
    <d v="2025-07-12T11:56:19"/>
    <x v="2"/>
    <x v="2"/>
    <s v="My laptop's keyboard isn't working properly, some keys are stuck. At bag continue."/>
    <x v="0"/>
    <d v="1899-12-30T04:58:44"/>
    <d v="1899-12-30T09:57:27"/>
    <x v="4"/>
  </r>
  <r>
    <s v="TICKET-1109"/>
    <d v="2025-07-13T00:24:13"/>
    <d v="2025-07-19T22:24:35"/>
    <x v="1"/>
    <x v="2"/>
    <s v="Application X is crashing every time I open it. Without pass book tend."/>
    <x v="2"/>
    <d v="1900-01-05T22:00:22"/>
    <d v="1900-01-12T20:00:45"/>
    <x v="6"/>
  </r>
  <r>
    <s v="TICKET-1110"/>
    <d v="2025-07-14T05:56:24"/>
    <d v="2025-07-14T12:35:51"/>
    <x v="3"/>
    <x v="7"/>
    <s v="I'm locked out of my account and can't reset my password. Right where add."/>
    <x v="0"/>
    <d v="1899-12-30T06:39:28"/>
    <d v="1899-12-30T13:18:56"/>
    <x v="1"/>
  </r>
  <r>
    <s v="TICKET-1111"/>
    <d v="2025-08-28T11:29:55"/>
    <d v="2025-09-04T10:40:12"/>
    <x v="1"/>
    <x v="2"/>
    <s v="Application X is crashing every time I open it. Argue team senior low training."/>
    <x v="2"/>
    <d v="1900-01-05T23:10:18"/>
    <d v="1900-01-12T22:20:35"/>
    <x v="2"/>
  </r>
  <r>
    <s v="TICKET-1112"/>
    <d v="2025-08-28T08:02:11"/>
    <d v="2025-09-02T04:40:56"/>
    <x v="5"/>
    <x v="1"/>
    <s v="Plant attack should. Drive international today. Pretty statement her upon nation."/>
    <x v="2"/>
    <d v="1900-01-03T20:38:45"/>
    <d v="1900-01-08T17:17:29"/>
    <x v="2"/>
  </r>
  <r>
    <s v="TICKET-1113"/>
    <d v="2025-08-20T11:19:48"/>
    <d v="2025-08-20T13:31:35"/>
    <x v="2"/>
    <x v="3"/>
    <s v="My laptop's keyboard isn't working properly, some keys are stuck. Chance place build body population."/>
    <x v="0"/>
    <d v="1899-12-30T02:11:47"/>
    <d v="1899-12-30T04:23:34"/>
    <x v="3"/>
  </r>
  <r>
    <s v="TICKET-1114"/>
    <d v="2025-06-26T06:39:15"/>
    <d v="2025-06-26T21:07:28"/>
    <x v="0"/>
    <x v="4"/>
    <s v="Something million activity. Interview under cover career under. Can address show public."/>
    <x v="1"/>
    <d v="1899-12-30T14:28:13"/>
    <d v="1899-12-31T04:56:26"/>
    <x v="2"/>
  </r>
  <r>
    <s v="TICKET-1115"/>
    <d v="2025-09-04T00:02:17"/>
    <d v="2025-09-08T17:50:48"/>
    <x v="3"/>
    <x v="9"/>
    <s v="I'm locked out of my account and can't reset my password. Receive nature option oil read trouble."/>
    <x v="2"/>
    <d v="1900-01-03T17:48:31"/>
    <d v="1900-01-08T11:37:02"/>
    <x v="2"/>
  </r>
  <r>
    <s v="TICKET-1116"/>
    <d v="2025-07-14T03:29:18"/>
    <d v="2025-07-15T11:50:20"/>
    <x v="1"/>
    <x v="2"/>
    <s v="Application X is crashing every time I open it. Toward ago director condition food share meet."/>
    <x v="1"/>
    <d v="1899-12-31T08:21:02"/>
    <d v="1900-01-01T16:42:05"/>
    <x v="1"/>
  </r>
  <r>
    <s v="TICKET-1117"/>
    <d v="2025-07-24T06:40:03"/>
    <d v="2025-07-26T02:18:46"/>
    <x v="3"/>
    <x v="8"/>
    <s v="I'm locked out of my account and can't reset my password. For we when drive. Start identify now throw."/>
    <x v="1"/>
    <d v="1899-12-31T19:38:43"/>
    <d v="1900-01-02T15:17:25"/>
    <x v="2"/>
  </r>
  <r>
    <s v="TICKET-1118"/>
    <d v="2025-08-03T22:42:23"/>
    <d v="2025-08-10T12:59:57"/>
    <x v="6"/>
    <x v="5"/>
    <s v="Even focus animal civil quality lay skill. Need maybe former return."/>
    <x v="2"/>
    <d v="1900-01-05T14:17:34"/>
    <d v="1900-01-12T04:35:09"/>
    <x v="6"/>
  </r>
  <r>
    <s v="TICKET-1119"/>
    <d v="2025-07-12T00:15:34"/>
    <d v="2025-07-12T19:05:17"/>
    <x v="2"/>
    <x v="1"/>
    <s v="My laptop's keyboard isn't working properly, some keys are stuck. Cup money work certainly color."/>
    <x v="1"/>
    <d v="1899-12-30T18:49:42"/>
    <d v="1899-12-31T13:39:25"/>
    <x v="4"/>
  </r>
  <r>
    <s v="TICKET-1120"/>
    <d v="2025-07-19T13:02:22"/>
    <d v="2025-07-20T07:25:23"/>
    <x v="0"/>
    <x v="4"/>
    <s v="Clear late win beat. Those arm say year him science door."/>
    <x v="1"/>
    <d v="1899-12-30T18:23:02"/>
    <d v="1899-12-31T12:46:04"/>
    <x v="4"/>
  </r>
  <r>
    <s v="TICKET-1121"/>
    <d v="2025-06-29T20:08:30"/>
    <d v="2025-06-30T10:31:43"/>
    <x v="3"/>
    <x v="7"/>
    <s v="I'm locked out of my account and can't reset my password. Purpose almost nature create authority company."/>
    <x v="1"/>
    <d v="1899-12-30T14:23:13"/>
    <d v="1899-12-31T04:46:27"/>
    <x v="6"/>
  </r>
  <r>
    <s v="TICKET-1122"/>
    <d v="2025-07-29T14:50:17"/>
    <d v="2025-07-30T09:24:48"/>
    <x v="1"/>
    <x v="0"/>
    <s v="Application X is crashing every time I open it. Garden better chance impact where how member."/>
    <x v="1"/>
    <d v="1899-12-30T18:34:31"/>
    <d v="1899-12-31T13:09:02"/>
    <x v="5"/>
  </r>
  <r>
    <s v="TICKET-1123"/>
    <d v="2025-08-19T01:11:31"/>
    <d v="2025-08-20T19:06:33"/>
    <x v="4"/>
    <x v="1"/>
    <s v="Can't connect to the Wi-Fi. It's showing 'No internet access'. Bag without else red. Able year decision others."/>
    <x v="1"/>
    <d v="1899-12-31T17:55:02"/>
    <d v="1900-01-02T11:50:03"/>
    <x v="5"/>
  </r>
  <r>
    <s v="TICKET-1124"/>
    <d v="2025-06-25T06:03:59"/>
    <d v="2025-06-25T18:46:33"/>
    <x v="6"/>
    <x v="9"/>
    <s v="Police machine star. Computer lead control across blue eye force. Parent set professor sit couple."/>
    <x v="1"/>
    <d v="1899-12-30T12:42:34"/>
    <d v="1899-12-31T01:25:08"/>
    <x v="3"/>
  </r>
  <r>
    <s v="TICKET-1125"/>
    <d v="2025-08-02T18:27:58"/>
    <d v="2025-08-03T12:11:22"/>
    <x v="6"/>
    <x v="3"/>
    <s v="Group resource dinner knowledge scientist Mr. Police simply enter training too."/>
    <x v="1"/>
    <d v="1899-12-30T17:43:25"/>
    <d v="1899-12-31T11:26:49"/>
    <x v="4"/>
  </r>
  <r>
    <s v="TICKET-1126"/>
    <d v="2025-08-26T00:22:43"/>
    <d v="2025-08-29T23:04:42"/>
    <x v="2"/>
    <x v="5"/>
    <s v="My laptop's keyboard isn't working properly, some keys are stuck. Go wear understand relate."/>
    <x v="2"/>
    <d v="1900-01-02T22:42:00"/>
    <d v="1900-01-06T21:23:59"/>
    <x v="5"/>
  </r>
  <r>
    <s v="TICKET-1127"/>
    <d v="2025-07-17T15:23:19"/>
    <d v="2025-07-22T01:23:32"/>
    <x v="1"/>
    <x v="9"/>
    <s v="Application X is crashing every time I open it. Gas mother rate wind fight success medical."/>
    <x v="2"/>
    <d v="1900-01-03T10:00:13"/>
    <d v="1900-01-07T20:00:26"/>
    <x v="2"/>
  </r>
  <r>
    <s v="TICKET-1128"/>
    <d v="2025-09-09T17:02:08"/>
    <d v="2025-09-10T01:18:37"/>
    <x v="4"/>
    <x v="2"/>
    <s v="Can't connect to the Wi-Fi. It's showing 'No internet access'. These entire million eat play sit."/>
    <x v="0"/>
    <d v="1899-12-30T08:16:29"/>
    <d v="1899-12-30T16:32:57"/>
    <x v="5"/>
  </r>
  <r>
    <s v="TICKET-1129"/>
    <d v="2025-09-06T17:30:19"/>
    <d v="2025-09-08T16:09:05"/>
    <x v="0"/>
    <x v="1"/>
    <s v="Draw once season talk forward. Decision partner north realize finish one question."/>
    <x v="1"/>
    <d v="1899-12-31T22:38:46"/>
    <d v="1900-01-02T21:17:31"/>
    <x v="4"/>
  </r>
  <r>
    <s v="TICKET-1130"/>
    <d v="2025-09-10T20:54:16"/>
    <d v="2025-09-12T16:37:10"/>
    <x v="6"/>
    <x v="6"/>
    <s v="Catch travel form bar pretty himself team. Light suffer evidence land ok may guy."/>
    <x v="2"/>
    <d v="1899-12-31T19:42:54"/>
    <d v="1900-01-02T15:25:48"/>
    <x v="3"/>
  </r>
  <r>
    <s v="TICKET-1131"/>
    <d v="2025-08-10T12:29:53"/>
    <d v="2025-08-14T09:20:30"/>
    <x v="6"/>
    <x v="2"/>
    <s v="Act believe heavy watch best game part. Too language mean. Cut age personal resource."/>
    <x v="2"/>
    <d v="1900-01-02T20:50:36"/>
    <d v="1900-01-06T17:41:13"/>
    <x v="6"/>
  </r>
  <r>
    <s v="TICKET-1132"/>
    <d v="2025-09-07T02:38:17"/>
    <d v="2025-09-10T14:05:49"/>
    <x v="0"/>
    <x v="7"/>
    <s v="Year name message voice data. Protect word up today. Break drop already life."/>
    <x v="2"/>
    <d v="1900-01-02T11:27:32"/>
    <d v="1900-01-05T22:55:03"/>
    <x v="6"/>
  </r>
  <r>
    <s v="TICKET-1133"/>
    <d v="2025-07-21T07:07:14"/>
    <d v="2025-07-21T17:05:13"/>
    <x v="3"/>
    <x v="3"/>
    <s v="I'm locked out of my account and can't reset my password. Maintain tree story research hair why."/>
    <x v="0"/>
    <d v="1899-12-30T09:57:59"/>
    <d v="1899-12-30T19:55:59"/>
    <x v="1"/>
  </r>
  <r>
    <s v="TICKET-1134"/>
    <d v="2025-08-15T01:02:50"/>
    <d v="2025-08-22T00:38:38"/>
    <x v="0"/>
    <x v="5"/>
    <s v="Memory process group arm attack indicate mother. View three prepare by."/>
    <x v="2"/>
    <d v="1900-01-05T23:35:48"/>
    <d v="1900-01-12T23:11:36"/>
    <x v="0"/>
  </r>
  <r>
    <s v="TICKET-1135"/>
    <d v="2025-06-24T05:57:14"/>
    <d v="2025-06-29T00:46:12"/>
    <x v="5"/>
    <x v="6"/>
    <s v="Foreign sign be money cup raise keep. Right scene market."/>
    <x v="2"/>
    <d v="1900-01-03T18:48:59"/>
    <d v="1900-01-08T13:37:57"/>
    <x v="5"/>
  </r>
  <r>
    <s v="TICKET-1136"/>
    <d v="2025-09-14T17:50:13"/>
    <d v="2025-09-17T23:47:19"/>
    <x v="2"/>
    <x v="6"/>
    <s v="My laptop's keyboard isn't working properly, some keys are stuck. Certain six among before."/>
    <x v="2"/>
    <d v="1900-01-02T05:57:06"/>
    <d v="1900-01-05T11:54:11"/>
    <x v="6"/>
  </r>
  <r>
    <s v="TICKET-1137"/>
    <d v="2025-06-29T09:14:35"/>
    <d v="2025-06-30T23:16:51"/>
    <x v="2"/>
    <x v="1"/>
    <s v="My laptop's keyboard isn't working properly, some keys are stuck. Ago his against point garden drug."/>
    <x v="2"/>
    <d v="1899-12-31T14:02:15"/>
    <d v="1900-01-02T04:04:31"/>
    <x v="6"/>
  </r>
  <r>
    <s v="TICKET-1138"/>
    <d v="2025-08-19T13:22:46"/>
    <d v="2025-08-20T12:41:10"/>
    <x v="1"/>
    <x v="0"/>
    <s v="Application X is crashing every time I open it. Any state food citizen."/>
    <x v="1"/>
    <d v="1899-12-30T23:18:25"/>
    <d v="1899-12-31T22:36:50"/>
    <x v="5"/>
  </r>
  <r>
    <s v="TICKET-1139"/>
    <d v="2025-08-21T14:38:53"/>
    <d v="2025-08-27T10:24:43"/>
    <x v="4"/>
    <x v="6"/>
    <s v="Can't connect to the Wi-Fi. It's showing 'No internet access'. He particularly begin save area finally word."/>
    <x v="2"/>
    <d v="1900-01-04T19:45:49"/>
    <d v="1900-01-10T15:31:39"/>
    <x v="2"/>
  </r>
  <r>
    <s v="TICKET-1140"/>
    <d v="2025-08-05T10:58:02"/>
    <d v="2025-08-06T01:50:41"/>
    <x v="2"/>
    <x v="8"/>
    <s v="My laptop's keyboard isn't working properly, some keys are stuck. Serious simply mind cost movie actually."/>
    <x v="1"/>
    <d v="1899-12-30T14:52:39"/>
    <d v="1899-12-31T05:45:18"/>
    <x v="5"/>
  </r>
  <r>
    <s v="TICKET-1141"/>
    <d v="2025-08-18T10:22:03"/>
    <d v="2025-08-18T23:14:10"/>
    <x v="2"/>
    <x v="0"/>
    <s v="My laptop's keyboard isn't working properly, some keys are stuck. Social approach mother white."/>
    <x v="1"/>
    <d v="1899-12-30T12:52:07"/>
    <d v="1899-12-31T01:44:13"/>
    <x v="1"/>
  </r>
  <r>
    <s v="TICKET-1142"/>
    <d v="2025-09-13T16:20:39"/>
    <d v="2025-09-14T21:34:39"/>
    <x v="4"/>
    <x v="4"/>
    <s v="Can't connect to the Wi-Fi. It's showing 'No internet access'. Enter room up sound nature."/>
    <x v="1"/>
    <d v="1899-12-31T05:14:00"/>
    <d v="1900-01-01T10:28:00"/>
    <x v="4"/>
  </r>
  <r>
    <s v="TICKET-1143"/>
    <d v="2025-08-03T06:49:31"/>
    <d v="2025-08-06T22:49:37"/>
    <x v="2"/>
    <x v="3"/>
    <s v="My laptop's keyboard isn't working properly, some keys are stuck. Effort to since question."/>
    <x v="2"/>
    <d v="1900-01-02T16:00:06"/>
    <d v="1900-01-06T08:00:13"/>
    <x v="6"/>
  </r>
  <r>
    <s v="TICKET-1144"/>
    <d v="2025-06-27T03:04:20"/>
    <d v="2025-06-27T15:18:06"/>
    <x v="1"/>
    <x v="8"/>
    <s v="Application X is crashing every time I open it. These drive president building."/>
    <x v="1"/>
    <d v="1899-12-30T12:13:46"/>
    <d v="1899-12-31T00:27:32"/>
    <x v="0"/>
  </r>
  <r>
    <s v="TICKET-1145"/>
    <d v="2025-08-31T15:49:39"/>
    <d v="2025-08-31T17:50:14"/>
    <x v="6"/>
    <x v="3"/>
    <s v="Suddenly effort she without without."/>
    <x v="3"/>
    <d v="1899-12-30T02:00:35"/>
    <d v="1899-12-30T04:01:10"/>
    <x v="6"/>
  </r>
  <r>
    <s v="TICKET-1146"/>
    <d v="2025-06-24T11:03:22"/>
    <d v="2025-06-24T18:54:19"/>
    <x v="4"/>
    <x v="6"/>
    <s v="Can't connect to the Wi-Fi. It's showing 'No internet access'. Should that nation can difficult nice."/>
    <x v="0"/>
    <d v="1899-12-30T07:50:58"/>
    <d v="1899-12-30T15:41:55"/>
    <x v="5"/>
  </r>
  <r>
    <s v="TICKET-1147"/>
    <d v="2025-09-02T16:56:42"/>
    <d v="2025-09-06T05:01:09"/>
    <x v="5"/>
    <x v="3"/>
    <s v="Look scene real owner agent whose specific. Along they yourself character year or behind."/>
    <x v="2"/>
    <d v="1900-01-02T12:04:27"/>
    <d v="1900-01-06T00:08:54"/>
    <x v="5"/>
  </r>
  <r>
    <s v="TICKET-1148"/>
    <d v="2025-07-16T14:22:14"/>
    <d v="2025-07-17T16:50:12"/>
    <x v="0"/>
    <x v="7"/>
    <s v="You reflect radio. Especially speech wish interesting wife."/>
    <x v="1"/>
    <d v="1899-12-31T02:27:58"/>
    <d v="1900-01-01T04:55:56"/>
    <x v="3"/>
  </r>
  <r>
    <s v="TICKET-1149"/>
    <d v="2025-07-31T04:12:39"/>
    <d v="2025-08-01T04:13:25"/>
    <x v="2"/>
    <x v="0"/>
    <s v="My laptop's keyboard isn't working properly, some keys are stuck. Event pattern factor deep manager work."/>
    <x v="1"/>
    <d v="1899-12-31T00:00:47"/>
    <d v="1900-01-01T00:01: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68A03-5325-4622-B67F-72A64C8989A0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G2:H10" firstHeaderRow="1" firstDataRow="1" firstDataCol="1"/>
  <pivotFields count="10">
    <pivotField showAll="0"/>
    <pivotField numFmtId="164" showAll="0"/>
    <pivotField numFmtId="164" showAll="0"/>
    <pivotField axis="axisRow" showAll="0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solution Hours" fld="8" subtotal="average" baseField="3" baseItem="0" numFmtId="2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0884A-292A-486D-976D-0D95AA56D56F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ategory">
  <location ref="D2:E10" firstHeaderRow="1" firstDataRow="1" firstDataCol="1"/>
  <pivotFields count="10">
    <pivotField dataField="1" showAll="0"/>
    <pivotField numFmtId="164" showAll="0"/>
    <pivotField numFmtId="164" showAll="0"/>
    <pivotField axis="axisRow" showAll="0" sortType="descending">
      <items count="8">
        <item x="3"/>
        <item x="6"/>
        <item x="2"/>
        <item x="4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showAll="0"/>
  </pivotFields>
  <rowFields count="1">
    <field x="3"/>
  </rowFields>
  <rowItems count="8">
    <i>
      <x v="6"/>
    </i>
    <i>
      <x v="2"/>
    </i>
    <i>
      <x v="3"/>
    </i>
    <i>
      <x v="4"/>
    </i>
    <i>
      <x/>
    </i>
    <i>
      <x v="1"/>
    </i>
    <i>
      <x v="5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311E5-9F57-4D09-BD6E-2E2E54F13EC3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Day">
  <location ref="A1:B9" firstHeaderRow="1" firstDataRow="1" firstDataCol="1"/>
  <pivotFields count="10">
    <pivotField dataField="1"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axis="axisRow" showAll="0">
      <items count="8">
        <item x="6"/>
        <item x="1"/>
        <item x="5"/>
        <item x="3"/>
        <item x="2"/>
        <item x="0"/>
        <item x="4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C06F9-0FFA-4985-B867-0AE4A55C7834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ority">
  <location ref="G12:H17" firstHeaderRow="1" firstDataRow="1" firstDataCol="1"/>
  <pivotFields count="10">
    <pivotField showAll="0"/>
    <pivotField numFmtId="164" showAll="0"/>
    <pivotField numFmtId="164"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numFmtId="164" showAll="0"/>
    <pivotField dataField="1" numFmtId="164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olution Hours" fld="8" subtotal="average" baseField="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FD5EB-546C-4943-BCD2-A6695BB783C9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ssigned analyst">
  <location ref="D12:E23" firstHeaderRow="1" firstDataRow="1" firstDataCol="1"/>
  <pivotFields count="10">
    <pivotField showAll="0"/>
    <pivotField numFmtId="164" showAll="0"/>
    <pivotField numFmtId="164" showAll="0"/>
    <pivotField showAll="0"/>
    <pivotField axis="axisRow" showAll="0" sortType="ascending">
      <items count="11">
        <item x="7"/>
        <item x="6"/>
        <item x="5"/>
        <item x="3"/>
        <item x="4"/>
        <item x="9"/>
        <item x="8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4"/>
  </rowFields>
  <rowItems count="11">
    <i>
      <x v="9"/>
    </i>
    <i>
      <x v="6"/>
    </i>
    <i>
      <x v="4"/>
    </i>
    <i>
      <x/>
    </i>
    <i>
      <x v="8"/>
    </i>
    <i>
      <x v="3"/>
    </i>
    <i>
      <x v="5"/>
    </i>
    <i>
      <x v="7"/>
    </i>
    <i>
      <x v="2"/>
    </i>
    <i>
      <x v="1"/>
    </i>
    <i t="grand">
      <x/>
    </i>
  </rowItems>
  <colItems count="1">
    <i/>
  </colItems>
  <dataFields count="1">
    <dataField name="Average of Resolution Hours" fld="8" subtotal="average" baseField="4" baseItem="9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78412-CBFC-43F6-9CD8-6EFF5B45B6B4}" name="Table1" displayName="Table1" ref="A1:K151" totalsRowShown="0">
  <autoFilter ref="A1:K151" xr:uid="{4E578412-CBFC-43F6-9CD8-6EFF5B45B6B4}"/>
  <tableColumns count="11">
    <tableColumn id="1" xr3:uid="{54D5720A-E531-4F4F-8918-738D986D6826}" name="ticket_id"/>
    <tableColumn id="2" xr3:uid="{9D893387-5795-4ACC-86A0-EFD1A7F146C4}" name="submission_date" dataDxfId="5"/>
    <tableColumn id="3" xr3:uid="{BF457DEE-6A5A-4009-81DD-906BF35B5B6C}" name="resolution_date" dataDxfId="4"/>
    <tableColumn id="4" xr3:uid="{30375466-7F11-478D-BDCF-20BECC914ECA}" name="category"/>
    <tableColumn id="5" xr3:uid="{CB7268C2-FD3C-47F9-9ADF-A710A86C79CE}" name="assigned_analyst"/>
    <tableColumn id="6" xr3:uid="{B6864986-DEDF-470A-93A9-60AE81F10735}" name="description"/>
    <tableColumn id="7" xr3:uid="{398FA949-3C6E-4FF2-9F43-5217A1B6FC1A}" name="priority"/>
    <tableColumn id="8" xr3:uid="{11AC4920-18AD-4814-A004-768FB0E34819}" name="Resolution Time" dataDxfId="3">
      <calculatedColumnFormula>Table1[[#This Row],[resolution_date]]-Table1[[#This Row],[submission_date]]</calculatedColumnFormula>
    </tableColumn>
    <tableColumn id="10" xr3:uid="{347856B4-410F-40E7-9656-60634540D013}" name="Day" dataDxfId="2">
      <calculatedColumnFormula>TEXT(Table1[[#This Row],[submission_date]],"ddd")</calculatedColumnFormula>
    </tableColumn>
    <tableColumn id="11" xr3:uid="{E8E50F18-6423-4C62-A6A2-EFC699474A4A}" name="Month" dataDxfId="1">
      <calculatedColumnFormula>TEXT(Table1[[#This Row],[submission_date]],"mmm")</calculatedColumnFormula>
    </tableColumn>
    <tableColumn id="12" xr3:uid="{5EAC34B6-E53E-4DFF-A1A8-26E81C3A14A7}" name="Resolution Hours2" dataDxfId="0">
      <calculatedColumnFormula>Table1[[#This Row],[Resolution Time]]*24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4E24-704E-4307-BF47-117BBD709FE2}">
  <dimension ref="A1:K151"/>
  <sheetViews>
    <sheetView workbookViewId="0">
      <selection activeCell="L5" sqref="L5"/>
    </sheetView>
  </sheetViews>
  <sheetFormatPr defaultRowHeight="14.4" x14ac:dyDescent="0.3"/>
  <cols>
    <col min="1" max="1" width="15.109375" customWidth="1"/>
    <col min="2" max="2" width="17" style="2" customWidth="1"/>
    <col min="3" max="3" width="16.109375" style="2" customWidth="1"/>
    <col min="4" max="4" width="10.21875" customWidth="1"/>
    <col min="5" max="5" width="17.109375" customWidth="1"/>
    <col min="6" max="6" width="94.44140625" customWidth="1"/>
    <col min="7" max="7" width="12.109375" customWidth="1"/>
    <col min="8" max="8" width="16.33203125" style="2" customWidth="1"/>
    <col min="11" max="11" width="15.88671875" customWidth="1"/>
  </cols>
  <sheetData>
    <row r="1" spans="1:11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328</v>
      </c>
      <c r="I1" t="s">
        <v>329</v>
      </c>
      <c r="J1" t="s">
        <v>345</v>
      </c>
      <c r="K1" t="s">
        <v>369</v>
      </c>
    </row>
    <row r="2" spans="1:11" x14ac:dyDescent="0.3">
      <c r="A2" t="s">
        <v>7</v>
      </c>
      <c r="B2" s="2">
        <v>45835.941851550924</v>
      </c>
      <c r="C2" s="2">
        <v>45836.157414861111</v>
      </c>
      <c r="D2" t="s">
        <v>8</v>
      </c>
      <c r="E2" t="s">
        <v>9</v>
      </c>
      <c r="F2" t="s">
        <v>10</v>
      </c>
      <c r="G2" t="s">
        <v>11</v>
      </c>
      <c r="H2" s="2">
        <f>Table1[[#This Row],[resolution_date]]-Table1[[#This Row],[submission_date]]</f>
        <v>0.21556331018655328</v>
      </c>
      <c r="I2" s="2" t="str">
        <f>TEXT(Table1[[#This Row],[submission_date]],"ddd")</f>
        <v>Fri</v>
      </c>
      <c r="J2" s="2" t="str">
        <f>TEXT(Table1[[#This Row],[submission_date]],"mmm")</f>
        <v>Jun</v>
      </c>
      <c r="K2" s="10">
        <f>Table1[[#This Row],[Resolution Time]]*24</f>
        <v>5.1735194444772787</v>
      </c>
    </row>
    <row r="3" spans="1:11" x14ac:dyDescent="0.3">
      <c r="A3" t="s">
        <v>12</v>
      </c>
      <c r="B3" s="2">
        <v>45901.811099571758</v>
      </c>
      <c r="C3" s="2">
        <v>45903.304233009258</v>
      </c>
      <c r="D3" t="s">
        <v>13</v>
      </c>
      <c r="E3" t="s">
        <v>14</v>
      </c>
      <c r="F3" t="s">
        <v>15</v>
      </c>
      <c r="G3" t="s">
        <v>16</v>
      </c>
      <c r="H3" s="2">
        <f>Table1[[#This Row],[resolution_date]]-Table1[[#This Row],[submission_date]]</f>
        <v>1.4931334374996368</v>
      </c>
      <c r="I3" s="2" t="str">
        <f>TEXT(Table1[[#This Row],[submission_date]],"ddd")</f>
        <v>Mon</v>
      </c>
      <c r="J3" s="2" t="str">
        <f>TEXT(Table1[[#This Row],[submission_date]],"mmm")</f>
        <v>Sep</v>
      </c>
      <c r="K3" s="10">
        <f>Table1[[#This Row],[Resolution Time]]*24</f>
        <v>35.835202499991283</v>
      </c>
    </row>
    <row r="4" spans="1:11" x14ac:dyDescent="0.3">
      <c r="A4" t="s">
        <v>17</v>
      </c>
      <c r="B4" s="2">
        <v>45904.397251620372</v>
      </c>
      <c r="C4" s="2">
        <v>45905.993478182871</v>
      </c>
      <c r="D4" t="s">
        <v>8</v>
      </c>
      <c r="E4" t="s">
        <v>18</v>
      </c>
      <c r="F4" t="s">
        <v>19</v>
      </c>
      <c r="G4" t="s">
        <v>16</v>
      </c>
      <c r="H4" s="2">
        <f>Table1[[#This Row],[resolution_date]]-Table1[[#This Row],[submission_date]]</f>
        <v>1.5962265624984866</v>
      </c>
      <c r="I4" s="2" t="str">
        <f>TEXT(Table1[[#This Row],[submission_date]],"ddd")</f>
        <v>Thu</v>
      </c>
      <c r="J4" s="2" t="str">
        <f>TEXT(Table1[[#This Row],[submission_date]],"mmm")</f>
        <v>Sep</v>
      </c>
      <c r="K4" s="10">
        <f>Table1[[#This Row],[Resolution Time]]*24</f>
        <v>38.309437499963678</v>
      </c>
    </row>
    <row r="5" spans="1:11" x14ac:dyDescent="0.3">
      <c r="A5" t="s">
        <v>20</v>
      </c>
      <c r="B5" s="2">
        <v>45866.74136521991</v>
      </c>
      <c r="C5" s="2">
        <v>45867.068278460647</v>
      </c>
      <c r="D5" t="s">
        <v>21</v>
      </c>
      <c r="E5" t="s">
        <v>22</v>
      </c>
      <c r="F5" t="s">
        <v>23</v>
      </c>
      <c r="G5" t="s">
        <v>11</v>
      </c>
      <c r="H5" s="2">
        <f>Table1[[#This Row],[resolution_date]]-Table1[[#This Row],[submission_date]]</f>
        <v>0.32691324073675787</v>
      </c>
      <c r="I5" s="2" t="str">
        <f>TEXT(Table1[[#This Row],[submission_date]],"ddd")</f>
        <v>Mon</v>
      </c>
      <c r="J5" s="2" t="str">
        <f>TEXT(Table1[[#This Row],[submission_date]],"mmm")</f>
        <v>Jul</v>
      </c>
      <c r="K5" s="10">
        <f>Table1[[#This Row],[Resolution Time]]*24</f>
        <v>7.8459177776821889</v>
      </c>
    </row>
    <row r="6" spans="1:11" x14ac:dyDescent="0.3">
      <c r="A6" t="s">
        <v>24</v>
      </c>
      <c r="B6" s="2">
        <v>45903.907044259257</v>
      </c>
      <c r="C6" s="2">
        <v>45904.286888356481</v>
      </c>
      <c r="D6" t="s">
        <v>13</v>
      </c>
      <c r="E6" t="s">
        <v>25</v>
      </c>
      <c r="F6" t="s">
        <v>26</v>
      </c>
      <c r="G6" t="s">
        <v>11</v>
      </c>
      <c r="H6" s="2">
        <f>Table1[[#This Row],[resolution_date]]-Table1[[#This Row],[submission_date]]</f>
        <v>0.37984409722412238</v>
      </c>
      <c r="I6" s="2" t="str">
        <f>TEXT(Table1[[#This Row],[submission_date]],"ddd")</f>
        <v>Wed</v>
      </c>
      <c r="J6" s="2" t="str">
        <f>TEXT(Table1[[#This Row],[submission_date]],"mmm")</f>
        <v>Sep</v>
      </c>
      <c r="K6" s="10">
        <f>Table1[[#This Row],[Resolution Time]]*24</f>
        <v>9.1162583333789371</v>
      </c>
    </row>
    <row r="7" spans="1:11" x14ac:dyDescent="0.3">
      <c r="A7" t="s">
        <v>27</v>
      </c>
      <c r="B7" s="2">
        <v>45873.856022060187</v>
      </c>
      <c r="C7" s="2">
        <v>45879.411592372686</v>
      </c>
      <c r="D7" t="s">
        <v>13</v>
      </c>
      <c r="E7" t="s">
        <v>18</v>
      </c>
      <c r="F7" t="s">
        <v>28</v>
      </c>
      <c r="G7" t="s">
        <v>29</v>
      </c>
      <c r="H7" s="2">
        <f>Table1[[#This Row],[resolution_date]]-Table1[[#This Row],[submission_date]]</f>
        <v>5.5555703124991851</v>
      </c>
      <c r="I7" s="2" t="str">
        <f>TEXT(Table1[[#This Row],[submission_date]],"ddd")</f>
        <v>Mon</v>
      </c>
      <c r="J7" s="2" t="str">
        <f>TEXT(Table1[[#This Row],[submission_date]],"mmm")</f>
        <v>Aug</v>
      </c>
      <c r="K7" s="10">
        <f>Table1[[#This Row],[Resolution Time]]*24</f>
        <v>133.33368749998044</v>
      </c>
    </row>
    <row r="8" spans="1:11" x14ac:dyDescent="0.3">
      <c r="A8" t="s">
        <v>30</v>
      </c>
      <c r="B8" s="2">
        <v>45891.443237013889</v>
      </c>
      <c r="C8" s="2">
        <v>45892.591544884257</v>
      </c>
      <c r="D8" t="s">
        <v>31</v>
      </c>
      <c r="E8" t="s">
        <v>32</v>
      </c>
      <c r="F8" t="s">
        <v>33</v>
      </c>
      <c r="G8" t="s">
        <v>29</v>
      </c>
      <c r="H8" s="2">
        <f>Table1[[#This Row],[resolution_date]]-Table1[[#This Row],[submission_date]]</f>
        <v>1.1483078703677165</v>
      </c>
      <c r="I8" s="2" t="str">
        <f>TEXT(Table1[[#This Row],[submission_date]],"ddd")</f>
        <v>Fri</v>
      </c>
      <c r="J8" s="2" t="str">
        <f>TEXT(Table1[[#This Row],[submission_date]],"mmm")</f>
        <v>Aug</v>
      </c>
      <c r="K8" s="10">
        <f>Table1[[#This Row],[Resolution Time]]*24</f>
        <v>27.559388888825197</v>
      </c>
    </row>
    <row r="9" spans="1:11" x14ac:dyDescent="0.3">
      <c r="A9" t="s">
        <v>34</v>
      </c>
      <c r="B9" s="2">
        <v>45843.321851516201</v>
      </c>
      <c r="C9" s="2">
        <v>45847.851614560182</v>
      </c>
      <c r="D9" t="s">
        <v>13</v>
      </c>
      <c r="E9" t="s">
        <v>35</v>
      </c>
      <c r="F9" t="s">
        <v>36</v>
      </c>
      <c r="G9" t="s">
        <v>29</v>
      </c>
      <c r="H9" s="2">
        <f>Table1[[#This Row],[resolution_date]]-Table1[[#This Row],[submission_date]]</f>
        <v>4.5297630439818022</v>
      </c>
      <c r="I9" s="2" t="str">
        <f>TEXT(Table1[[#This Row],[submission_date]],"ddd")</f>
        <v>Sat</v>
      </c>
      <c r="J9" s="2" t="str">
        <f>TEXT(Table1[[#This Row],[submission_date]],"mmm")</f>
        <v>Jul</v>
      </c>
      <c r="K9" s="10">
        <f>Table1[[#This Row],[Resolution Time]]*24</f>
        <v>108.71431305556325</v>
      </c>
    </row>
    <row r="10" spans="1:11" x14ac:dyDescent="0.3">
      <c r="A10" t="s">
        <v>37</v>
      </c>
      <c r="B10" s="2">
        <v>45845.695295972226</v>
      </c>
      <c r="C10" s="2">
        <v>45846.419769224536</v>
      </c>
      <c r="D10" t="s">
        <v>21</v>
      </c>
      <c r="E10" t="s">
        <v>35</v>
      </c>
      <c r="F10" t="s">
        <v>38</v>
      </c>
      <c r="G10" t="s">
        <v>16</v>
      </c>
      <c r="H10" s="2">
        <f>Table1[[#This Row],[resolution_date]]-Table1[[#This Row],[submission_date]]</f>
        <v>0.72447325231041759</v>
      </c>
      <c r="I10" s="2" t="str">
        <f>TEXT(Table1[[#This Row],[submission_date]],"ddd")</f>
        <v>Mon</v>
      </c>
      <c r="J10" s="2" t="str">
        <f>TEXT(Table1[[#This Row],[submission_date]],"mmm")</f>
        <v>Jul</v>
      </c>
      <c r="K10" s="10">
        <f>Table1[[#This Row],[Resolution Time]]*24</f>
        <v>17.387358055450022</v>
      </c>
    </row>
    <row r="11" spans="1:11" x14ac:dyDescent="0.3">
      <c r="A11" t="s">
        <v>39</v>
      </c>
      <c r="B11" s="2">
        <v>45910.617740428243</v>
      </c>
      <c r="C11" s="2">
        <v>45911.83237329861</v>
      </c>
      <c r="D11" t="s">
        <v>13</v>
      </c>
      <c r="E11" t="s">
        <v>18</v>
      </c>
      <c r="F11" t="s">
        <v>40</v>
      </c>
      <c r="G11" t="s">
        <v>16</v>
      </c>
      <c r="H11" s="2">
        <f>Table1[[#This Row],[resolution_date]]-Table1[[#This Row],[submission_date]]</f>
        <v>1.2146328703674953</v>
      </c>
      <c r="I11" s="2" t="str">
        <f>TEXT(Table1[[#This Row],[submission_date]],"ddd")</f>
        <v>Wed</v>
      </c>
      <c r="J11" s="2" t="str">
        <f>TEXT(Table1[[#This Row],[submission_date]],"mmm")</f>
        <v>Sep</v>
      </c>
      <c r="K11" s="10">
        <f>Table1[[#This Row],[Resolution Time]]*24</f>
        <v>29.151188888819888</v>
      </c>
    </row>
    <row r="12" spans="1:11" x14ac:dyDescent="0.3">
      <c r="A12" t="s">
        <v>41</v>
      </c>
      <c r="B12" s="2">
        <v>45896.555576689818</v>
      </c>
      <c r="C12" s="2">
        <v>45902.686473993053</v>
      </c>
      <c r="D12" t="s">
        <v>13</v>
      </c>
      <c r="E12" t="s">
        <v>42</v>
      </c>
      <c r="F12" t="s">
        <v>43</v>
      </c>
      <c r="G12" t="s">
        <v>29</v>
      </c>
      <c r="H12" s="2">
        <f>Table1[[#This Row],[resolution_date]]-Table1[[#This Row],[submission_date]]</f>
        <v>6.1308973032355425</v>
      </c>
      <c r="I12" s="2" t="str">
        <f>TEXT(Table1[[#This Row],[submission_date]],"ddd")</f>
        <v>Wed</v>
      </c>
      <c r="J12" s="2" t="str">
        <f>TEXT(Table1[[#This Row],[submission_date]],"mmm")</f>
        <v>Aug</v>
      </c>
      <c r="K12" s="10">
        <f>Table1[[#This Row],[Resolution Time]]*24</f>
        <v>147.14153527765302</v>
      </c>
    </row>
    <row r="13" spans="1:11" x14ac:dyDescent="0.3">
      <c r="A13" t="s">
        <v>44</v>
      </c>
      <c r="B13" s="2">
        <v>45832.080772222223</v>
      </c>
      <c r="C13" s="2">
        <v>45832.240656608796</v>
      </c>
      <c r="D13" t="s">
        <v>45</v>
      </c>
      <c r="E13" t="s">
        <v>46</v>
      </c>
      <c r="F13" t="s">
        <v>47</v>
      </c>
      <c r="G13" t="s">
        <v>11</v>
      </c>
      <c r="H13" s="2">
        <f>Table1[[#This Row],[resolution_date]]-Table1[[#This Row],[submission_date]]</f>
        <v>0.15988438657223014</v>
      </c>
      <c r="I13" s="2" t="str">
        <f>TEXT(Table1[[#This Row],[submission_date]],"ddd")</f>
        <v>Tue</v>
      </c>
      <c r="J13" s="2" t="str">
        <f>TEXT(Table1[[#This Row],[submission_date]],"mmm")</f>
        <v>Jun</v>
      </c>
      <c r="K13" s="10">
        <f>Table1[[#This Row],[Resolution Time]]*24</f>
        <v>3.8372252777335234</v>
      </c>
    </row>
    <row r="14" spans="1:11" x14ac:dyDescent="0.3">
      <c r="A14" t="s">
        <v>48</v>
      </c>
      <c r="B14" s="2">
        <v>45836.410961250003</v>
      </c>
      <c r="C14" s="2">
        <v>45837.124087824071</v>
      </c>
      <c r="D14" t="s">
        <v>45</v>
      </c>
      <c r="E14" t="s">
        <v>9</v>
      </c>
      <c r="F14" t="s">
        <v>49</v>
      </c>
      <c r="G14" t="s">
        <v>16</v>
      </c>
      <c r="H14" s="2">
        <f>Table1[[#This Row],[resolution_date]]-Table1[[#This Row],[submission_date]]</f>
        <v>0.71312657406815561</v>
      </c>
      <c r="I14" s="2" t="str">
        <f>TEXT(Table1[[#This Row],[submission_date]],"ddd")</f>
        <v>Sat</v>
      </c>
      <c r="J14" s="2" t="str">
        <f>TEXT(Table1[[#This Row],[submission_date]],"mmm")</f>
        <v>Jun</v>
      </c>
      <c r="K14" s="10">
        <f>Table1[[#This Row],[Resolution Time]]*24</f>
        <v>17.115037777635735</v>
      </c>
    </row>
    <row r="15" spans="1:11" x14ac:dyDescent="0.3">
      <c r="A15" t="s">
        <v>50</v>
      </c>
      <c r="B15" s="2">
        <v>45860.381175960647</v>
      </c>
      <c r="C15" s="2">
        <v>45864.663007314812</v>
      </c>
      <c r="D15" t="s">
        <v>13</v>
      </c>
      <c r="E15" t="s">
        <v>35</v>
      </c>
      <c r="F15" t="s">
        <v>51</v>
      </c>
      <c r="G15" t="s">
        <v>29</v>
      </c>
      <c r="H15" s="2">
        <f>Table1[[#This Row],[resolution_date]]-Table1[[#This Row],[submission_date]]</f>
        <v>4.2818313541647512</v>
      </c>
      <c r="I15" s="2" t="str">
        <f>TEXT(Table1[[#This Row],[submission_date]],"ddd")</f>
        <v>Tue</v>
      </c>
      <c r="J15" s="2" t="str">
        <f>TEXT(Table1[[#This Row],[submission_date]],"mmm")</f>
        <v>Jul</v>
      </c>
      <c r="K15" s="10">
        <f>Table1[[#This Row],[Resolution Time]]*24</f>
        <v>102.76395249995403</v>
      </c>
    </row>
    <row r="16" spans="1:11" x14ac:dyDescent="0.3">
      <c r="A16" t="s">
        <v>52</v>
      </c>
      <c r="B16" s="2">
        <v>45847.939561203704</v>
      </c>
      <c r="C16" s="2">
        <v>45848.049673634261</v>
      </c>
      <c r="D16" t="s">
        <v>13</v>
      </c>
      <c r="E16" t="s">
        <v>14</v>
      </c>
      <c r="F16" t="s">
        <v>53</v>
      </c>
      <c r="G16" t="s">
        <v>11</v>
      </c>
      <c r="H16" s="2">
        <f>Table1[[#This Row],[resolution_date]]-Table1[[#This Row],[submission_date]]</f>
        <v>0.11011243055691011</v>
      </c>
      <c r="I16" s="2" t="str">
        <f>TEXT(Table1[[#This Row],[submission_date]],"ddd")</f>
        <v>Wed</v>
      </c>
      <c r="J16" s="2" t="str">
        <f>TEXT(Table1[[#This Row],[submission_date]],"mmm")</f>
        <v>Jul</v>
      </c>
      <c r="K16" s="10">
        <f>Table1[[#This Row],[Resolution Time]]*24</f>
        <v>2.6426983333658427</v>
      </c>
    </row>
    <row r="17" spans="1:11" x14ac:dyDescent="0.3">
      <c r="A17" t="s">
        <v>54</v>
      </c>
      <c r="B17" s="2">
        <v>45861.940402638887</v>
      </c>
      <c r="C17" s="2">
        <v>45862.05557290509</v>
      </c>
      <c r="D17" t="s">
        <v>13</v>
      </c>
      <c r="E17" t="s">
        <v>55</v>
      </c>
      <c r="F17" t="s">
        <v>56</v>
      </c>
      <c r="G17" t="s">
        <v>11</v>
      </c>
      <c r="H17" s="2">
        <f>Table1[[#This Row],[resolution_date]]-Table1[[#This Row],[submission_date]]</f>
        <v>0.11517026620276738</v>
      </c>
      <c r="I17" s="2" t="str">
        <f>TEXT(Table1[[#This Row],[submission_date]],"ddd")</f>
        <v>Wed</v>
      </c>
      <c r="J17" s="2" t="str">
        <f>TEXT(Table1[[#This Row],[submission_date]],"mmm")</f>
        <v>Jul</v>
      </c>
      <c r="K17" s="10">
        <f>Table1[[#This Row],[Resolution Time]]*24</f>
        <v>2.7640863888664171</v>
      </c>
    </row>
    <row r="18" spans="1:11" x14ac:dyDescent="0.3">
      <c r="A18" t="s">
        <v>57</v>
      </c>
      <c r="B18" s="2">
        <v>45875.49450458333</v>
      </c>
      <c r="C18" s="2">
        <v>45880.346445115742</v>
      </c>
      <c r="D18" t="s">
        <v>13</v>
      </c>
      <c r="E18" t="s">
        <v>35</v>
      </c>
      <c r="F18" t="s">
        <v>58</v>
      </c>
      <c r="G18" t="s">
        <v>29</v>
      </c>
      <c r="H18" s="2">
        <f>Table1[[#This Row],[resolution_date]]-Table1[[#This Row],[submission_date]]</f>
        <v>4.8519405324113904</v>
      </c>
      <c r="I18" s="2" t="str">
        <f>TEXT(Table1[[#This Row],[submission_date]],"ddd")</f>
        <v>Wed</v>
      </c>
      <c r="J18" s="2" t="str">
        <f>TEXT(Table1[[#This Row],[submission_date]],"mmm")</f>
        <v>Aug</v>
      </c>
      <c r="K18" s="10">
        <f>Table1[[#This Row],[Resolution Time]]*24</f>
        <v>116.44657277787337</v>
      </c>
    </row>
    <row r="19" spans="1:11" x14ac:dyDescent="0.3">
      <c r="A19" t="s">
        <v>59</v>
      </c>
      <c r="B19" s="2">
        <v>45838.695992071756</v>
      </c>
      <c r="C19" s="2">
        <v>45840.859242071761</v>
      </c>
      <c r="D19" t="s">
        <v>60</v>
      </c>
      <c r="E19" t="s">
        <v>9</v>
      </c>
      <c r="F19" t="s">
        <v>61</v>
      </c>
      <c r="G19" t="s">
        <v>29</v>
      </c>
      <c r="H19" s="2">
        <f>Table1[[#This Row],[resolution_date]]-Table1[[#This Row],[submission_date]]</f>
        <v>2.1632500000050641</v>
      </c>
      <c r="I19" s="2" t="str">
        <f>TEXT(Table1[[#This Row],[submission_date]],"ddd")</f>
        <v>Mon</v>
      </c>
      <c r="J19" s="2" t="str">
        <f>TEXT(Table1[[#This Row],[submission_date]],"mmm")</f>
        <v>Jun</v>
      </c>
      <c r="K19" s="10">
        <f>Table1[[#This Row],[Resolution Time]]*24</f>
        <v>51.918000000121538</v>
      </c>
    </row>
    <row r="20" spans="1:11" x14ac:dyDescent="0.3">
      <c r="A20" t="s">
        <v>62</v>
      </c>
      <c r="B20" s="2">
        <v>45838.960468067133</v>
      </c>
      <c r="C20" s="2">
        <v>45842.491957118058</v>
      </c>
      <c r="D20" t="s">
        <v>45</v>
      </c>
      <c r="E20" t="s">
        <v>22</v>
      </c>
      <c r="F20" t="s">
        <v>63</v>
      </c>
      <c r="G20" t="s">
        <v>29</v>
      </c>
      <c r="H20" s="2">
        <f>Table1[[#This Row],[resolution_date]]-Table1[[#This Row],[submission_date]]</f>
        <v>3.5314890509253019</v>
      </c>
      <c r="I20" s="2" t="str">
        <f>TEXT(Table1[[#This Row],[submission_date]],"ddd")</f>
        <v>Mon</v>
      </c>
      <c r="J20" s="2" t="str">
        <f>TEXT(Table1[[#This Row],[submission_date]],"mmm")</f>
        <v>Jun</v>
      </c>
      <c r="K20" s="10">
        <f>Table1[[#This Row],[Resolution Time]]*24</f>
        <v>84.755737222207244</v>
      </c>
    </row>
    <row r="21" spans="1:11" x14ac:dyDescent="0.3">
      <c r="A21" t="s">
        <v>64</v>
      </c>
      <c r="B21" s="2">
        <v>45841.310591307869</v>
      </c>
      <c r="C21" s="2">
        <v>45842.999058043984</v>
      </c>
      <c r="D21" t="s">
        <v>21</v>
      </c>
      <c r="E21" t="s">
        <v>22</v>
      </c>
      <c r="F21" t="s">
        <v>65</v>
      </c>
      <c r="G21" t="s">
        <v>16</v>
      </c>
      <c r="H21" s="2">
        <f>Table1[[#This Row],[resolution_date]]-Table1[[#This Row],[submission_date]]</f>
        <v>1.6884667361155152</v>
      </c>
      <c r="I21" s="2" t="str">
        <f>TEXT(Table1[[#This Row],[submission_date]],"ddd")</f>
        <v>Thu</v>
      </c>
      <c r="J21" s="2" t="str">
        <f>TEXT(Table1[[#This Row],[submission_date]],"mmm")</f>
        <v>Jul</v>
      </c>
      <c r="K21" s="10">
        <f>Table1[[#This Row],[Resolution Time]]*24</f>
        <v>40.523201666772366</v>
      </c>
    </row>
    <row r="22" spans="1:11" x14ac:dyDescent="0.3">
      <c r="A22" t="s">
        <v>66</v>
      </c>
      <c r="B22" s="2">
        <v>45831.951130162037</v>
      </c>
      <c r="C22" s="2">
        <v>45833.462965312501</v>
      </c>
      <c r="D22" t="s">
        <v>13</v>
      </c>
      <c r="E22" t="s">
        <v>14</v>
      </c>
      <c r="F22" t="s">
        <v>67</v>
      </c>
      <c r="G22" t="s">
        <v>16</v>
      </c>
      <c r="H22" s="2">
        <f>Table1[[#This Row],[resolution_date]]-Table1[[#This Row],[submission_date]]</f>
        <v>1.5118351504643215</v>
      </c>
      <c r="I22" s="2" t="str">
        <f>TEXT(Table1[[#This Row],[submission_date]],"ddd")</f>
        <v>Mon</v>
      </c>
      <c r="J22" s="2" t="str">
        <f>TEXT(Table1[[#This Row],[submission_date]],"mmm")</f>
        <v>Jun</v>
      </c>
      <c r="K22" s="10">
        <f>Table1[[#This Row],[Resolution Time]]*24</f>
        <v>36.284043611143716</v>
      </c>
    </row>
    <row r="23" spans="1:11" x14ac:dyDescent="0.3">
      <c r="A23" t="s">
        <v>68</v>
      </c>
      <c r="B23" s="2">
        <v>45846.482601527779</v>
      </c>
      <c r="C23" s="2">
        <v>45848.392504687501</v>
      </c>
      <c r="D23" t="s">
        <v>13</v>
      </c>
      <c r="E23" t="s">
        <v>9</v>
      </c>
      <c r="F23" t="s">
        <v>69</v>
      </c>
      <c r="G23" t="s">
        <v>16</v>
      </c>
      <c r="H23" s="2">
        <f>Table1[[#This Row],[resolution_date]]-Table1[[#This Row],[submission_date]]</f>
        <v>1.9099031597215799</v>
      </c>
      <c r="I23" s="2" t="str">
        <f>TEXT(Table1[[#This Row],[submission_date]],"ddd")</f>
        <v>Tue</v>
      </c>
      <c r="J23" s="2" t="str">
        <f>TEXT(Table1[[#This Row],[submission_date]],"mmm")</f>
        <v>Jul</v>
      </c>
      <c r="K23" s="10">
        <f>Table1[[#This Row],[Resolution Time]]*24</f>
        <v>45.837675833317917</v>
      </c>
    </row>
    <row r="24" spans="1:11" x14ac:dyDescent="0.3">
      <c r="A24" t="s">
        <v>70</v>
      </c>
      <c r="B24" s="2">
        <v>45830.978999976855</v>
      </c>
      <c r="C24" s="2">
        <v>45831.690442743056</v>
      </c>
      <c r="D24" t="s">
        <v>13</v>
      </c>
      <c r="E24" t="s">
        <v>42</v>
      </c>
      <c r="F24" t="s">
        <v>71</v>
      </c>
      <c r="G24" t="s">
        <v>16</v>
      </c>
      <c r="H24" s="2">
        <f>Table1[[#This Row],[resolution_date]]-Table1[[#This Row],[submission_date]]</f>
        <v>0.7114427662017988</v>
      </c>
      <c r="I24" s="2" t="str">
        <f>TEXT(Table1[[#This Row],[submission_date]],"ddd")</f>
        <v>Sun</v>
      </c>
      <c r="J24" s="2" t="str">
        <f>TEXT(Table1[[#This Row],[submission_date]],"mmm")</f>
        <v>Jun</v>
      </c>
      <c r="K24" s="10">
        <f>Table1[[#This Row],[Resolution Time]]*24</f>
        <v>17.074626388843171</v>
      </c>
    </row>
    <row r="25" spans="1:11" x14ac:dyDescent="0.3">
      <c r="A25" t="s">
        <v>72</v>
      </c>
      <c r="B25" s="2">
        <v>45898.519360115744</v>
      </c>
      <c r="C25" s="2">
        <v>45900.18315665509</v>
      </c>
      <c r="D25" t="s">
        <v>13</v>
      </c>
      <c r="E25" t="s">
        <v>25</v>
      </c>
      <c r="F25" t="s">
        <v>73</v>
      </c>
      <c r="G25" t="s">
        <v>16</v>
      </c>
      <c r="H25" s="2">
        <f>Table1[[#This Row],[resolution_date]]-Table1[[#This Row],[submission_date]]</f>
        <v>1.6637965393456398</v>
      </c>
      <c r="I25" s="2" t="str">
        <f>TEXT(Table1[[#This Row],[submission_date]],"ddd")</f>
        <v>Fri</v>
      </c>
      <c r="J25" s="2" t="str">
        <f>TEXT(Table1[[#This Row],[submission_date]],"mmm")</f>
        <v>Aug</v>
      </c>
      <c r="K25" s="10">
        <f>Table1[[#This Row],[Resolution Time]]*24</f>
        <v>39.931116944295354</v>
      </c>
    </row>
    <row r="26" spans="1:11" x14ac:dyDescent="0.3">
      <c r="A26" t="s">
        <v>74</v>
      </c>
      <c r="B26" s="2">
        <v>45850.151124652781</v>
      </c>
      <c r="C26" s="2">
        <v>45854.404572488427</v>
      </c>
      <c r="D26" t="s">
        <v>45</v>
      </c>
      <c r="E26" t="s">
        <v>22</v>
      </c>
      <c r="F26" t="s">
        <v>75</v>
      </c>
      <c r="G26" t="s">
        <v>29</v>
      </c>
      <c r="H26" s="2">
        <f>Table1[[#This Row],[resolution_date]]-Table1[[#This Row],[submission_date]]</f>
        <v>4.2534478356465115</v>
      </c>
      <c r="I26" s="2" t="str">
        <f>TEXT(Table1[[#This Row],[submission_date]],"ddd")</f>
        <v>Sat</v>
      </c>
      <c r="J26" s="2" t="str">
        <f>TEXT(Table1[[#This Row],[submission_date]],"mmm")</f>
        <v>Jul</v>
      </c>
      <c r="K26" s="10">
        <f>Table1[[#This Row],[Resolution Time]]*24</f>
        <v>102.08274805551628</v>
      </c>
    </row>
    <row r="27" spans="1:11" x14ac:dyDescent="0.3">
      <c r="A27" t="s">
        <v>76</v>
      </c>
      <c r="B27" s="2">
        <v>45851.238076643516</v>
      </c>
      <c r="C27" s="2">
        <v>45852.816654155089</v>
      </c>
      <c r="D27" t="s">
        <v>13</v>
      </c>
      <c r="E27" t="s">
        <v>14</v>
      </c>
      <c r="F27" t="s">
        <v>77</v>
      </c>
      <c r="G27" t="s">
        <v>16</v>
      </c>
      <c r="H27" s="2">
        <f>Table1[[#This Row],[resolution_date]]-Table1[[#This Row],[submission_date]]</f>
        <v>1.5785775115728029</v>
      </c>
      <c r="I27" s="2" t="str">
        <f>TEXT(Table1[[#This Row],[submission_date]],"ddd")</f>
        <v>Sun</v>
      </c>
      <c r="J27" s="2" t="str">
        <f>TEXT(Table1[[#This Row],[submission_date]],"mmm")</f>
        <v>Jul</v>
      </c>
      <c r="K27" s="10">
        <f>Table1[[#This Row],[Resolution Time]]*24</f>
        <v>37.88586027774727</v>
      </c>
    </row>
    <row r="28" spans="1:11" x14ac:dyDescent="0.3">
      <c r="A28" t="s">
        <v>78</v>
      </c>
      <c r="B28" s="2">
        <v>45832.01864923611</v>
      </c>
      <c r="C28" s="2">
        <v>45832.510323969909</v>
      </c>
      <c r="D28" t="s">
        <v>45</v>
      </c>
      <c r="E28" t="s">
        <v>25</v>
      </c>
      <c r="F28" t="s">
        <v>79</v>
      </c>
      <c r="G28" t="s">
        <v>11</v>
      </c>
      <c r="H28" s="2">
        <f>Table1[[#This Row],[resolution_date]]-Table1[[#This Row],[submission_date]]</f>
        <v>0.49167473379930016</v>
      </c>
      <c r="I28" s="2" t="str">
        <f>TEXT(Table1[[#This Row],[submission_date]],"ddd")</f>
        <v>Tue</v>
      </c>
      <c r="J28" s="2" t="str">
        <f>TEXT(Table1[[#This Row],[submission_date]],"mmm")</f>
        <v>Jun</v>
      </c>
      <c r="K28" s="10">
        <f>Table1[[#This Row],[Resolution Time]]*24</f>
        <v>11.800193611183204</v>
      </c>
    </row>
    <row r="29" spans="1:11" x14ac:dyDescent="0.3">
      <c r="A29" t="s">
        <v>80</v>
      </c>
      <c r="B29" s="2">
        <v>45841.81186765046</v>
      </c>
      <c r="C29" s="2">
        <v>45843.718911377313</v>
      </c>
      <c r="D29" t="s">
        <v>81</v>
      </c>
      <c r="E29" t="s">
        <v>14</v>
      </c>
      <c r="F29" t="s">
        <v>82</v>
      </c>
      <c r="G29" t="s">
        <v>16</v>
      </c>
      <c r="H29" s="2">
        <f>Table1[[#This Row],[resolution_date]]-Table1[[#This Row],[submission_date]]</f>
        <v>1.9070437268528622</v>
      </c>
      <c r="I29" s="2" t="str">
        <f>TEXT(Table1[[#This Row],[submission_date]],"ddd")</f>
        <v>Thu</v>
      </c>
      <c r="J29" s="2" t="str">
        <f>TEXT(Table1[[#This Row],[submission_date]],"mmm")</f>
        <v>Jul</v>
      </c>
      <c r="K29" s="10">
        <f>Table1[[#This Row],[Resolution Time]]*24</f>
        <v>45.769049444468692</v>
      </c>
    </row>
    <row r="30" spans="1:11" x14ac:dyDescent="0.3">
      <c r="A30" t="s">
        <v>83</v>
      </c>
      <c r="B30" s="2">
        <v>45915.543717083332</v>
      </c>
      <c r="C30" s="2">
        <v>45917.331455462961</v>
      </c>
      <c r="D30" t="s">
        <v>8</v>
      </c>
      <c r="E30" t="s">
        <v>9</v>
      </c>
      <c r="F30" t="s">
        <v>84</v>
      </c>
      <c r="G30" t="s">
        <v>29</v>
      </c>
      <c r="H30" s="2">
        <f>Table1[[#This Row],[resolution_date]]-Table1[[#This Row],[submission_date]]</f>
        <v>1.7877383796294453</v>
      </c>
      <c r="I30" s="2" t="str">
        <f>TEXT(Table1[[#This Row],[submission_date]],"ddd")</f>
        <v>Mon</v>
      </c>
      <c r="J30" s="2" t="str">
        <f>TEXT(Table1[[#This Row],[submission_date]],"mmm")</f>
        <v>Sep</v>
      </c>
      <c r="K30" s="10">
        <f>Table1[[#This Row],[Resolution Time]]*24</f>
        <v>42.905721111106686</v>
      </c>
    </row>
    <row r="31" spans="1:11" x14ac:dyDescent="0.3">
      <c r="A31" t="s">
        <v>85</v>
      </c>
      <c r="B31" s="2">
        <v>45896.914734548613</v>
      </c>
      <c r="C31" s="2">
        <v>45898.277047488424</v>
      </c>
      <c r="D31" t="s">
        <v>13</v>
      </c>
      <c r="E31" t="s">
        <v>18</v>
      </c>
      <c r="F31" t="s">
        <v>86</v>
      </c>
      <c r="G31" t="s">
        <v>16</v>
      </c>
      <c r="H31" s="2">
        <f>Table1[[#This Row],[resolution_date]]-Table1[[#This Row],[submission_date]]</f>
        <v>1.3623129398110905</v>
      </c>
      <c r="I31" s="2" t="str">
        <f>TEXT(Table1[[#This Row],[submission_date]],"ddd")</f>
        <v>Wed</v>
      </c>
      <c r="J31" s="2" t="str">
        <f>TEXT(Table1[[#This Row],[submission_date]],"mmm")</f>
        <v>Aug</v>
      </c>
      <c r="K31" s="10">
        <f>Table1[[#This Row],[Resolution Time]]*24</f>
        <v>32.695510555466171</v>
      </c>
    </row>
    <row r="32" spans="1:11" x14ac:dyDescent="0.3">
      <c r="A32" t="s">
        <v>87</v>
      </c>
      <c r="B32" s="2">
        <v>45899.845190624997</v>
      </c>
      <c r="C32" s="2">
        <v>45906.109850624998</v>
      </c>
      <c r="D32" t="s">
        <v>45</v>
      </c>
      <c r="E32" t="s">
        <v>18</v>
      </c>
      <c r="F32" t="s">
        <v>88</v>
      </c>
      <c r="G32" t="s">
        <v>29</v>
      </c>
      <c r="H32" s="2">
        <f>Table1[[#This Row],[resolution_date]]-Table1[[#This Row],[submission_date]]</f>
        <v>6.2646600000007311</v>
      </c>
      <c r="I32" s="2" t="str">
        <f>TEXT(Table1[[#This Row],[submission_date]],"ddd")</f>
        <v>Sat</v>
      </c>
      <c r="J32" s="2" t="str">
        <f>TEXT(Table1[[#This Row],[submission_date]],"mmm")</f>
        <v>Aug</v>
      </c>
      <c r="K32" s="10">
        <f>Table1[[#This Row],[Resolution Time]]*24</f>
        <v>150.35184000001755</v>
      </c>
    </row>
    <row r="33" spans="1:11" x14ac:dyDescent="0.3">
      <c r="A33" t="s">
        <v>89</v>
      </c>
      <c r="B33" s="2">
        <v>45893.999277337964</v>
      </c>
      <c r="C33" s="2">
        <v>45894.316192916667</v>
      </c>
      <c r="D33" t="s">
        <v>13</v>
      </c>
      <c r="E33" t="s">
        <v>14</v>
      </c>
      <c r="F33" t="s">
        <v>90</v>
      </c>
      <c r="G33" t="s">
        <v>11</v>
      </c>
      <c r="H33" s="2">
        <f>Table1[[#This Row],[resolution_date]]-Table1[[#This Row],[submission_date]]</f>
        <v>0.31691557870362885</v>
      </c>
      <c r="I33" s="2" t="str">
        <f>TEXT(Table1[[#This Row],[submission_date]],"ddd")</f>
        <v>Sun</v>
      </c>
      <c r="J33" s="2" t="str">
        <f>TEXT(Table1[[#This Row],[submission_date]],"mmm")</f>
        <v>Aug</v>
      </c>
      <c r="K33" s="10">
        <f>Table1[[#This Row],[Resolution Time]]*24</f>
        <v>7.6059738888870925</v>
      </c>
    </row>
    <row r="34" spans="1:11" x14ac:dyDescent="0.3">
      <c r="A34" t="s">
        <v>91</v>
      </c>
      <c r="B34" s="2">
        <v>45849.75739244213</v>
      </c>
      <c r="C34" s="2">
        <v>45855.27821527778</v>
      </c>
      <c r="D34" t="s">
        <v>45</v>
      </c>
      <c r="E34" t="s">
        <v>35</v>
      </c>
      <c r="F34" t="s">
        <v>92</v>
      </c>
      <c r="G34" t="s">
        <v>29</v>
      </c>
      <c r="H34" s="2">
        <f>Table1[[#This Row],[resolution_date]]-Table1[[#This Row],[submission_date]]</f>
        <v>5.5208228356495965</v>
      </c>
      <c r="I34" s="2" t="str">
        <f>TEXT(Table1[[#This Row],[submission_date]],"ddd")</f>
        <v>Fri</v>
      </c>
      <c r="J34" s="2" t="str">
        <f>TEXT(Table1[[#This Row],[submission_date]],"mmm")</f>
        <v>Jul</v>
      </c>
      <c r="K34" s="10">
        <f>Table1[[#This Row],[Resolution Time]]*24</f>
        <v>132.49974805559032</v>
      </c>
    </row>
    <row r="35" spans="1:11" x14ac:dyDescent="0.3">
      <c r="A35" t="s">
        <v>93</v>
      </c>
      <c r="B35" s="2">
        <v>45904.814613437498</v>
      </c>
      <c r="C35" s="2">
        <v>45910.228323379626</v>
      </c>
      <c r="D35" t="s">
        <v>81</v>
      </c>
      <c r="E35" t="s">
        <v>32</v>
      </c>
      <c r="F35" t="s">
        <v>94</v>
      </c>
      <c r="G35" t="s">
        <v>29</v>
      </c>
      <c r="H35" s="2">
        <f>Table1[[#This Row],[resolution_date]]-Table1[[#This Row],[submission_date]]</f>
        <v>5.4137099421277526</v>
      </c>
      <c r="I35" s="2" t="str">
        <f>TEXT(Table1[[#This Row],[submission_date]],"ddd")</f>
        <v>Thu</v>
      </c>
      <c r="J35" s="2" t="str">
        <f>TEXT(Table1[[#This Row],[submission_date]],"mmm")</f>
        <v>Sep</v>
      </c>
      <c r="K35" s="10">
        <f>Table1[[#This Row],[Resolution Time]]*24</f>
        <v>129.92903861106606</v>
      </c>
    </row>
    <row r="36" spans="1:11" x14ac:dyDescent="0.3">
      <c r="A36" t="s">
        <v>95</v>
      </c>
      <c r="B36" s="2">
        <v>45893.712596354169</v>
      </c>
      <c r="C36" s="2">
        <v>45899.821769236114</v>
      </c>
      <c r="D36" t="s">
        <v>13</v>
      </c>
      <c r="E36" t="s">
        <v>25</v>
      </c>
      <c r="F36" t="s">
        <v>96</v>
      </c>
      <c r="G36" t="s">
        <v>29</v>
      </c>
      <c r="H36" s="2">
        <f>Table1[[#This Row],[resolution_date]]-Table1[[#This Row],[submission_date]]</f>
        <v>6.1091728819446871</v>
      </c>
      <c r="I36" s="2" t="str">
        <f>TEXT(Table1[[#This Row],[submission_date]],"ddd")</f>
        <v>Sun</v>
      </c>
      <c r="J36" s="2" t="str">
        <f>TEXT(Table1[[#This Row],[submission_date]],"mmm")</f>
        <v>Aug</v>
      </c>
      <c r="K36" s="10">
        <f>Table1[[#This Row],[Resolution Time]]*24</f>
        <v>146.62014916667249</v>
      </c>
    </row>
    <row r="37" spans="1:11" x14ac:dyDescent="0.3">
      <c r="A37" t="s">
        <v>97</v>
      </c>
      <c r="B37" s="2">
        <v>45838.741699282407</v>
      </c>
      <c r="C37" s="2">
        <v>45839.817210752313</v>
      </c>
      <c r="D37" t="s">
        <v>21</v>
      </c>
      <c r="E37" t="s">
        <v>14</v>
      </c>
      <c r="F37" t="s">
        <v>98</v>
      </c>
      <c r="G37" t="s">
        <v>29</v>
      </c>
      <c r="H37" s="2">
        <f>Table1[[#This Row],[resolution_date]]-Table1[[#This Row],[submission_date]]</f>
        <v>1.075511469905905</v>
      </c>
      <c r="I37" s="2" t="str">
        <f>TEXT(Table1[[#This Row],[submission_date]],"ddd")</f>
        <v>Mon</v>
      </c>
      <c r="J37" s="2" t="str">
        <f>TEXT(Table1[[#This Row],[submission_date]],"mmm")</f>
        <v>Jun</v>
      </c>
      <c r="K37" s="10">
        <f>Table1[[#This Row],[Resolution Time]]*24</f>
        <v>25.812275277741719</v>
      </c>
    </row>
    <row r="38" spans="1:11" x14ac:dyDescent="0.3">
      <c r="A38" t="s">
        <v>99</v>
      </c>
      <c r="B38" s="2">
        <v>45909.36557869213</v>
      </c>
      <c r="C38" s="2">
        <v>45913.263069328706</v>
      </c>
      <c r="D38" t="s">
        <v>13</v>
      </c>
      <c r="E38" t="s">
        <v>46</v>
      </c>
      <c r="F38" t="s">
        <v>100</v>
      </c>
      <c r="G38" t="s">
        <v>29</v>
      </c>
      <c r="H38" s="2">
        <f>Table1[[#This Row],[resolution_date]]-Table1[[#This Row],[submission_date]]</f>
        <v>3.8974906365765492</v>
      </c>
      <c r="I38" s="2" t="str">
        <f>TEXT(Table1[[#This Row],[submission_date]],"ddd")</f>
        <v>Tue</v>
      </c>
      <c r="J38" s="2" t="str">
        <f>TEXT(Table1[[#This Row],[submission_date]],"mmm")</f>
        <v>Sep</v>
      </c>
      <c r="K38" s="10">
        <f>Table1[[#This Row],[Resolution Time]]*24</f>
        <v>93.53977527783718</v>
      </c>
    </row>
    <row r="39" spans="1:11" x14ac:dyDescent="0.3">
      <c r="A39" t="s">
        <v>101</v>
      </c>
      <c r="B39" s="2">
        <v>45880.455971180556</v>
      </c>
      <c r="C39" s="2">
        <v>45886.671748993052</v>
      </c>
      <c r="D39" t="s">
        <v>8</v>
      </c>
      <c r="E39" t="s">
        <v>42</v>
      </c>
      <c r="F39" t="s">
        <v>102</v>
      </c>
      <c r="G39" t="s">
        <v>29</v>
      </c>
      <c r="H39" s="2">
        <f>Table1[[#This Row],[resolution_date]]-Table1[[#This Row],[submission_date]]</f>
        <v>6.2157778124965262</v>
      </c>
      <c r="I39" s="2" t="str">
        <f>TEXT(Table1[[#This Row],[submission_date]],"ddd")</f>
        <v>Mon</v>
      </c>
      <c r="J39" s="2" t="str">
        <f>TEXT(Table1[[#This Row],[submission_date]],"mmm")</f>
        <v>Aug</v>
      </c>
      <c r="K39" s="10">
        <f>Table1[[#This Row],[Resolution Time]]*24</f>
        <v>149.17866749991663</v>
      </c>
    </row>
    <row r="40" spans="1:11" x14ac:dyDescent="0.3">
      <c r="A40" t="s">
        <v>103</v>
      </c>
      <c r="B40" s="2">
        <v>45901.680695057868</v>
      </c>
      <c r="C40" s="2">
        <v>45902.113242870371</v>
      </c>
      <c r="D40" t="s">
        <v>13</v>
      </c>
      <c r="E40" t="s">
        <v>32</v>
      </c>
      <c r="F40" t="s">
        <v>104</v>
      </c>
      <c r="G40" t="s">
        <v>16</v>
      </c>
      <c r="H40" s="2">
        <f>Table1[[#This Row],[resolution_date]]-Table1[[#This Row],[submission_date]]</f>
        <v>0.43254781250288943</v>
      </c>
      <c r="I40" s="2" t="str">
        <f>TEXT(Table1[[#This Row],[submission_date]],"ddd")</f>
        <v>Mon</v>
      </c>
      <c r="J40" s="2" t="str">
        <f>TEXT(Table1[[#This Row],[submission_date]],"mmm")</f>
        <v>Sep</v>
      </c>
      <c r="K40" s="10">
        <f>Table1[[#This Row],[Resolution Time]]*24</f>
        <v>10.381147500069346</v>
      </c>
    </row>
    <row r="41" spans="1:11" x14ac:dyDescent="0.3">
      <c r="A41" t="s">
        <v>105</v>
      </c>
      <c r="B41" s="2">
        <v>45883.854248391202</v>
      </c>
      <c r="C41" s="2">
        <v>45884.364103043983</v>
      </c>
      <c r="D41" t="s">
        <v>31</v>
      </c>
      <c r="E41" t="s">
        <v>35</v>
      </c>
      <c r="F41" t="s">
        <v>106</v>
      </c>
      <c r="G41" t="s">
        <v>16</v>
      </c>
      <c r="H41" s="2">
        <f>Table1[[#This Row],[resolution_date]]-Table1[[#This Row],[submission_date]]</f>
        <v>0.50985465278063202</v>
      </c>
      <c r="I41" s="2" t="str">
        <f>TEXT(Table1[[#This Row],[submission_date]],"ddd")</f>
        <v>Thu</v>
      </c>
      <c r="J41" s="2" t="str">
        <f>TEXT(Table1[[#This Row],[submission_date]],"mmm")</f>
        <v>Aug</v>
      </c>
      <c r="K41" s="10">
        <f>Table1[[#This Row],[Resolution Time]]*24</f>
        <v>12.236511666735169</v>
      </c>
    </row>
    <row r="42" spans="1:11" x14ac:dyDescent="0.3">
      <c r="A42" t="s">
        <v>107</v>
      </c>
      <c r="B42" s="2">
        <v>45905.24280886574</v>
      </c>
      <c r="C42" s="2">
        <v>45906.957953680554</v>
      </c>
      <c r="D42" t="s">
        <v>45</v>
      </c>
      <c r="E42" t="s">
        <v>9</v>
      </c>
      <c r="F42" t="s">
        <v>108</v>
      </c>
      <c r="G42" t="s">
        <v>16</v>
      </c>
      <c r="H42" s="2">
        <f>Table1[[#This Row],[resolution_date]]-Table1[[#This Row],[submission_date]]</f>
        <v>1.7151448148142663</v>
      </c>
      <c r="I42" s="2" t="str">
        <f>TEXT(Table1[[#This Row],[submission_date]],"ddd")</f>
        <v>Fri</v>
      </c>
      <c r="J42" s="2" t="str">
        <f>TEXT(Table1[[#This Row],[submission_date]],"mmm")</f>
        <v>Sep</v>
      </c>
      <c r="K42" s="10">
        <f>Table1[[#This Row],[Resolution Time]]*24</f>
        <v>41.163475555542391</v>
      </c>
    </row>
    <row r="43" spans="1:11" x14ac:dyDescent="0.3">
      <c r="A43" t="s">
        <v>109</v>
      </c>
      <c r="B43" s="2">
        <v>45913.768400347224</v>
      </c>
      <c r="C43" s="2">
        <v>45914.807395509262</v>
      </c>
      <c r="D43" t="s">
        <v>21</v>
      </c>
      <c r="E43" t="s">
        <v>14</v>
      </c>
      <c r="F43" t="s">
        <v>110</v>
      </c>
      <c r="G43" t="s">
        <v>29</v>
      </c>
      <c r="H43" s="2">
        <f>Table1[[#This Row],[resolution_date]]-Table1[[#This Row],[submission_date]]</f>
        <v>1.0389951620381908</v>
      </c>
      <c r="I43" s="2" t="str">
        <f>TEXT(Table1[[#This Row],[submission_date]],"ddd")</f>
        <v>Sat</v>
      </c>
      <c r="J43" s="2" t="str">
        <f>TEXT(Table1[[#This Row],[submission_date]],"mmm")</f>
        <v>Sep</v>
      </c>
      <c r="K43" s="10">
        <f>Table1[[#This Row],[Resolution Time]]*24</f>
        <v>24.935883888916578</v>
      </c>
    </row>
    <row r="44" spans="1:11" ht="28.8" x14ac:dyDescent="0.3">
      <c r="A44" t="s">
        <v>111</v>
      </c>
      <c r="B44" s="2">
        <v>45866.029443506945</v>
      </c>
      <c r="C44" s="2">
        <v>45872.45864300926</v>
      </c>
      <c r="D44" t="s">
        <v>81</v>
      </c>
      <c r="E44" t="s">
        <v>55</v>
      </c>
      <c r="F44" s="1" t="s">
        <v>112</v>
      </c>
      <c r="G44" t="s">
        <v>29</v>
      </c>
      <c r="H44" s="2">
        <f>Table1[[#This Row],[resolution_date]]-Table1[[#This Row],[submission_date]]</f>
        <v>6.4291995023158961</v>
      </c>
      <c r="I44" s="2" t="str">
        <f>TEXT(Table1[[#This Row],[submission_date]],"ddd")</f>
        <v>Mon</v>
      </c>
      <c r="J44" s="2" t="str">
        <f>TEXT(Table1[[#This Row],[submission_date]],"mmm")</f>
        <v>Jul</v>
      </c>
      <c r="K44" s="10">
        <f>Table1[[#This Row],[Resolution Time]]*24</f>
        <v>154.30078805558151</v>
      </c>
    </row>
    <row r="45" spans="1:11" x14ac:dyDescent="0.3">
      <c r="A45" t="s">
        <v>113</v>
      </c>
      <c r="B45" s="2">
        <v>45868.901072280096</v>
      </c>
      <c r="C45" s="2">
        <v>45868.96509607639</v>
      </c>
      <c r="D45" t="s">
        <v>13</v>
      </c>
      <c r="E45" t="s">
        <v>35</v>
      </c>
      <c r="F45" t="s">
        <v>114</v>
      </c>
      <c r="G45" t="s">
        <v>115</v>
      </c>
      <c r="H45" s="2">
        <f>Table1[[#This Row],[resolution_date]]-Table1[[#This Row],[submission_date]]</f>
        <v>6.4023796294350177E-2</v>
      </c>
      <c r="I45" s="2" t="str">
        <f>TEXT(Table1[[#This Row],[submission_date]],"ddd")</f>
        <v>Wed</v>
      </c>
      <c r="J45" s="2" t="str">
        <f>TEXT(Table1[[#This Row],[submission_date]],"mmm")</f>
        <v>Jul</v>
      </c>
      <c r="K45" s="10">
        <f>Table1[[#This Row],[Resolution Time]]*24</f>
        <v>1.5365711110644042</v>
      </c>
    </row>
    <row r="46" spans="1:11" x14ac:dyDescent="0.3">
      <c r="A46" t="s">
        <v>116</v>
      </c>
      <c r="B46" s="2">
        <v>45872.126770416668</v>
      </c>
      <c r="C46" s="2">
        <v>45872.29889071759</v>
      </c>
      <c r="D46" t="s">
        <v>21</v>
      </c>
      <c r="E46" t="s">
        <v>32</v>
      </c>
      <c r="F46" t="s">
        <v>117</v>
      </c>
      <c r="G46" t="s">
        <v>11</v>
      </c>
      <c r="H46" s="2">
        <f>Table1[[#This Row],[resolution_date]]-Table1[[#This Row],[submission_date]]</f>
        <v>0.17212030092196073</v>
      </c>
      <c r="I46" s="2" t="str">
        <f>TEXT(Table1[[#This Row],[submission_date]],"ddd")</f>
        <v>Sun</v>
      </c>
      <c r="J46" s="2" t="str">
        <f>TEXT(Table1[[#This Row],[submission_date]],"mmm")</f>
        <v>Aug</v>
      </c>
      <c r="K46" s="10">
        <f>Table1[[#This Row],[Resolution Time]]*24</f>
        <v>4.1308872221270576</v>
      </c>
    </row>
    <row r="47" spans="1:11" x14ac:dyDescent="0.3">
      <c r="A47" t="s">
        <v>118</v>
      </c>
      <c r="B47" s="2">
        <v>45843.404094467594</v>
      </c>
      <c r="C47" s="2">
        <v>45843.878437824074</v>
      </c>
      <c r="D47" t="s">
        <v>13</v>
      </c>
      <c r="E47" t="s">
        <v>14</v>
      </c>
      <c r="F47" t="s">
        <v>119</v>
      </c>
      <c r="G47" t="s">
        <v>11</v>
      </c>
      <c r="H47" s="2">
        <f>Table1[[#This Row],[resolution_date]]-Table1[[#This Row],[submission_date]]</f>
        <v>0.47434335647994885</v>
      </c>
      <c r="I47" s="2" t="str">
        <f>TEXT(Table1[[#This Row],[submission_date]],"ddd")</f>
        <v>Sat</v>
      </c>
      <c r="J47" s="2" t="str">
        <f>TEXT(Table1[[#This Row],[submission_date]],"mmm")</f>
        <v>Jul</v>
      </c>
      <c r="K47" s="10">
        <f>Table1[[#This Row],[Resolution Time]]*24</f>
        <v>11.384240555518772</v>
      </c>
    </row>
    <row r="48" spans="1:11" x14ac:dyDescent="0.3">
      <c r="A48" t="s">
        <v>120</v>
      </c>
      <c r="B48" s="2">
        <v>45899.571593854169</v>
      </c>
      <c r="C48" s="2">
        <v>45901.48748614583</v>
      </c>
      <c r="D48" t="s">
        <v>45</v>
      </c>
      <c r="E48" t="s">
        <v>25</v>
      </c>
      <c r="F48" t="s">
        <v>121</v>
      </c>
      <c r="G48" t="s">
        <v>16</v>
      </c>
      <c r="H48" s="2">
        <f>Table1[[#This Row],[resolution_date]]-Table1[[#This Row],[submission_date]]</f>
        <v>1.9158922916612937</v>
      </c>
      <c r="I48" s="2" t="str">
        <f>TEXT(Table1[[#This Row],[submission_date]],"ddd")</f>
        <v>Sat</v>
      </c>
      <c r="J48" s="2" t="str">
        <f>TEXT(Table1[[#This Row],[submission_date]],"mmm")</f>
        <v>Aug</v>
      </c>
      <c r="K48" s="10">
        <f>Table1[[#This Row],[Resolution Time]]*24</f>
        <v>45.981414999871049</v>
      </c>
    </row>
    <row r="49" spans="1:11" x14ac:dyDescent="0.3">
      <c r="A49" t="s">
        <v>122</v>
      </c>
      <c r="B49" s="2">
        <v>45830.641442060187</v>
      </c>
      <c r="C49" s="2">
        <v>45835.539807534726</v>
      </c>
      <c r="D49" t="s">
        <v>31</v>
      </c>
      <c r="E49" t="s">
        <v>14</v>
      </c>
      <c r="F49" t="s">
        <v>123</v>
      </c>
      <c r="G49" t="s">
        <v>29</v>
      </c>
      <c r="H49" s="2">
        <f>Table1[[#This Row],[resolution_date]]-Table1[[#This Row],[submission_date]]</f>
        <v>4.8983654745388776</v>
      </c>
      <c r="I49" s="2" t="str">
        <f>TEXT(Table1[[#This Row],[submission_date]],"ddd")</f>
        <v>Sun</v>
      </c>
      <c r="J49" s="2" t="str">
        <f>TEXT(Table1[[#This Row],[submission_date]],"mmm")</f>
        <v>Jun</v>
      </c>
      <c r="K49" s="10">
        <f>Table1[[#This Row],[Resolution Time]]*24</f>
        <v>117.56077138893306</v>
      </c>
    </row>
    <row r="50" spans="1:11" x14ac:dyDescent="0.3">
      <c r="A50" t="s">
        <v>124</v>
      </c>
      <c r="B50" s="2">
        <v>45841.133833182874</v>
      </c>
      <c r="C50" s="2">
        <v>45841.652713553238</v>
      </c>
      <c r="D50" t="s">
        <v>45</v>
      </c>
      <c r="E50" t="s">
        <v>14</v>
      </c>
      <c r="F50" t="s">
        <v>125</v>
      </c>
      <c r="G50" t="s">
        <v>16</v>
      </c>
      <c r="H50" s="2">
        <f>Table1[[#This Row],[resolution_date]]-Table1[[#This Row],[submission_date]]</f>
        <v>0.51888037036405876</v>
      </c>
      <c r="I50" s="2" t="str">
        <f>TEXT(Table1[[#This Row],[submission_date]],"ddd")</f>
        <v>Thu</v>
      </c>
      <c r="J50" s="2" t="str">
        <f>TEXT(Table1[[#This Row],[submission_date]],"mmm")</f>
        <v>Jul</v>
      </c>
      <c r="K50" s="10">
        <f>Table1[[#This Row],[Resolution Time]]*24</f>
        <v>12.45312888873741</v>
      </c>
    </row>
    <row r="51" spans="1:11" x14ac:dyDescent="0.3">
      <c r="A51" t="s">
        <v>126</v>
      </c>
      <c r="B51" s="2">
        <v>45878.743972037038</v>
      </c>
      <c r="C51" s="2">
        <v>45879.856085624997</v>
      </c>
      <c r="D51" t="s">
        <v>45</v>
      </c>
      <c r="E51" t="s">
        <v>14</v>
      </c>
      <c r="F51" t="s">
        <v>127</v>
      </c>
      <c r="G51" t="s">
        <v>16</v>
      </c>
      <c r="H51" s="2">
        <f>Table1[[#This Row],[resolution_date]]-Table1[[#This Row],[submission_date]]</f>
        <v>1.1121135879584472</v>
      </c>
      <c r="I51" s="2" t="str">
        <f>TEXT(Table1[[#This Row],[submission_date]],"ddd")</f>
        <v>Sat</v>
      </c>
      <c r="J51" s="2" t="str">
        <f>TEXT(Table1[[#This Row],[submission_date]],"mmm")</f>
        <v>Aug</v>
      </c>
      <c r="K51" s="10">
        <f>Table1[[#This Row],[Resolution Time]]*24</f>
        <v>26.690726111002732</v>
      </c>
    </row>
    <row r="52" spans="1:11" x14ac:dyDescent="0.3">
      <c r="A52" t="s">
        <v>128</v>
      </c>
      <c r="B52" s="2">
        <v>45861.349098321756</v>
      </c>
      <c r="C52" s="2">
        <v>45865.965208310183</v>
      </c>
      <c r="D52" t="s">
        <v>8</v>
      </c>
      <c r="E52" t="s">
        <v>22</v>
      </c>
      <c r="F52" t="s">
        <v>129</v>
      </c>
      <c r="G52" t="s">
        <v>29</v>
      </c>
      <c r="H52" s="2">
        <f>Table1[[#This Row],[resolution_date]]-Table1[[#This Row],[submission_date]]</f>
        <v>4.616109988426615</v>
      </c>
      <c r="I52" s="2" t="str">
        <f>TEXT(Table1[[#This Row],[submission_date]],"ddd")</f>
        <v>Wed</v>
      </c>
      <c r="J52" s="2" t="str">
        <f>TEXT(Table1[[#This Row],[submission_date]],"mmm")</f>
        <v>Jul</v>
      </c>
      <c r="K52" s="10">
        <f>Table1[[#This Row],[Resolution Time]]*24</f>
        <v>110.78663972223876</v>
      </c>
    </row>
    <row r="53" spans="1:11" x14ac:dyDescent="0.3">
      <c r="A53" t="s">
        <v>130</v>
      </c>
      <c r="B53" s="2">
        <v>45869.827586620369</v>
      </c>
      <c r="C53" s="2">
        <v>45876.059095208337</v>
      </c>
      <c r="D53" t="s">
        <v>13</v>
      </c>
      <c r="E53" t="s">
        <v>14</v>
      </c>
      <c r="F53" t="s">
        <v>131</v>
      </c>
      <c r="G53" t="s">
        <v>29</v>
      </c>
      <c r="H53" s="2">
        <f>Table1[[#This Row],[resolution_date]]-Table1[[#This Row],[submission_date]]</f>
        <v>6.2315085879672552</v>
      </c>
      <c r="I53" s="2" t="str">
        <f>TEXT(Table1[[#This Row],[submission_date]],"ddd")</f>
        <v>Thu</v>
      </c>
      <c r="J53" s="2" t="str">
        <f>TEXT(Table1[[#This Row],[submission_date]],"mmm")</f>
        <v>Jul</v>
      </c>
      <c r="K53" s="10">
        <f>Table1[[#This Row],[Resolution Time]]*24</f>
        <v>149.55620611121412</v>
      </c>
    </row>
    <row r="54" spans="1:11" x14ac:dyDescent="0.3">
      <c r="A54" t="s">
        <v>132</v>
      </c>
      <c r="B54" s="2">
        <v>45837.098491828707</v>
      </c>
      <c r="C54" s="2">
        <v>45837.72761415509</v>
      </c>
      <c r="D54" t="s">
        <v>13</v>
      </c>
      <c r="E54" t="s">
        <v>22</v>
      </c>
      <c r="F54" t="s">
        <v>133</v>
      </c>
      <c r="G54" t="s">
        <v>16</v>
      </c>
      <c r="H54" s="2">
        <f>Table1[[#This Row],[resolution_date]]-Table1[[#This Row],[submission_date]]</f>
        <v>0.62912232638336718</v>
      </c>
      <c r="I54" s="2" t="str">
        <f>TEXT(Table1[[#This Row],[submission_date]],"ddd")</f>
        <v>Sun</v>
      </c>
      <c r="J54" s="2" t="str">
        <f>TEXT(Table1[[#This Row],[submission_date]],"mmm")</f>
        <v>Jun</v>
      </c>
      <c r="K54" s="10">
        <f>Table1[[#This Row],[Resolution Time]]*24</f>
        <v>15.098935833200812</v>
      </c>
    </row>
    <row r="55" spans="1:11" x14ac:dyDescent="0.3">
      <c r="A55" t="s">
        <v>134</v>
      </c>
      <c r="B55" s="2">
        <v>45884.862366689813</v>
      </c>
      <c r="C55" s="2">
        <v>45885.412255208335</v>
      </c>
      <c r="D55" t="s">
        <v>13</v>
      </c>
      <c r="E55" t="s">
        <v>14</v>
      </c>
      <c r="F55" t="s">
        <v>135</v>
      </c>
      <c r="G55" t="s">
        <v>16</v>
      </c>
      <c r="H55" s="2">
        <f>Table1[[#This Row],[resolution_date]]-Table1[[#This Row],[submission_date]]</f>
        <v>0.54988851852249354</v>
      </c>
      <c r="I55" s="2" t="str">
        <f>TEXT(Table1[[#This Row],[submission_date]],"ddd")</f>
        <v>Fri</v>
      </c>
      <c r="J55" s="2" t="str">
        <f>TEXT(Table1[[#This Row],[submission_date]],"mmm")</f>
        <v>Aug</v>
      </c>
      <c r="K55" s="10">
        <f>Table1[[#This Row],[Resolution Time]]*24</f>
        <v>13.197324444539845</v>
      </c>
    </row>
    <row r="56" spans="1:11" x14ac:dyDescent="0.3">
      <c r="A56" t="s">
        <v>136</v>
      </c>
      <c r="B56" s="2">
        <v>45853.375071770832</v>
      </c>
      <c r="C56" s="2">
        <v>45853.793861516206</v>
      </c>
      <c r="D56" t="s">
        <v>45</v>
      </c>
      <c r="E56" t="s">
        <v>18</v>
      </c>
      <c r="F56" t="s">
        <v>137</v>
      </c>
      <c r="G56" t="s">
        <v>11</v>
      </c>
      <c r="H56" s="2">
        <f>Table1[[#This Row],[resolution_date]]-Table1[[#This Row],[submission_date]]</f>
        <v>0.41878974537394242</v>
      </c>
      <c r="I56" s="2" t="str">
        <f>TEXT(Table1[[#This Row],[submission_date]],"ddd")</f>
        <v>Tue</v>
      </c>
      <c r="J56" s="2" t="str">
        <f>TEXT(Table1[[#This Row],[submission_date]],"mmm")</f>
        <v>Jul</v>
      </c>
      <c r="K56" s="10">
        <f>Table1[[#This Row],[Resolution Time]]*24</f>
        <v>10.050953888974618</v>
      </c>
    </row>
    <row r="57" spans="1:11" x14ac:dyDescent="0.3">
      <c r="A57" t="s">
        <v>138</v>
      </c>
      <c r="B57" s="2">
        <v>45829.046392881944</v>
      </c>
      <c r="C57" s="2">
        <v>45830.741530185187</v>
      </c>
      <c r="D57" t="s">
        <v>31</v>
      </c>
      <c r="E57" t="s">
        <v>14</v>
      </c>
      <c r="F57" t="s">
        <v>139</v>
      </c>
      <c r="G57" t="s">
        <v>16</v>
      </c>
      <c r="H57" s="2">
        <f>Table1[[#This Row],[resolution_date]]-Table1[[#This Row],[submission_date]]</f>
        <v>1.6951373032425181</v>
      </c>
      <c r="I57" s="2" t="str">
        <f>TEXT(Table1[[#This Row],[submission_date]],"ddd")</f>
        <v>Sat</v>
      </c>
      <c r="J57" s="2" t="str">
        <f>TEXT(Table1[[#This Row],[submission_date]],"mmm")</f>
        <v>Jun</v>
      </c>
      <c r="K57" s="10">
        <f>Table1[[#This Row],[Resolution Time]]*24</f>
        <v>40.683295277820434</v>
      </c>
    </row>
    <row r="58" spans="1:11" x14ac:dyDescent="0.3">
      <c r="A58" t="s">
        <v>140</v>
      </c>
      <c r="B58" s="2">
        <v>45871.327925046295</v>
      </c>
      <c r="C58" s="2">
        <v>45872.603165902779</v>
      </c>
      <c r="D58" t="s">
        <v>8</v>
      </c>
      <c r="E58" t="s">
        <v>22</v>
      </c>
      <c r="F58" t="s">
        <v>141</v>
      </c>
      <c r="G58" t="s">
        <v>16</v>
      </c>
      <c r="H58" s="2">
        <f>Table1[[#This Row],[resolution_date]]-Table1[[#This Row],[submission_date]]</f>
        <v>1.2752408564847428</v>
      </c>
      <c r="I58" s="2" t="str">
        <f>TEXT(Table1[[#This Row],[submission_date]],"ddd")</f>
        <v>Sat</v>
      </c>
      <c r="J58" s="2" t="str">
        <f>TEXT(Table1[[#This Row],[submission_date]],"mmm")</f>
        <v>Aug</v>
      </c>
      <c r="K58" s="10">
        <f>Table1[[#This Row],[Resolution Time]]*24</f>
        <v>30.605780555633828</v>
      </c>
    </row>
    <row r="59" spans="1:11" x14ac:dyDescent="0.3">
      <c r="A59" t="s">
        <v>142</v>
      </c>
      <c r="B59" s="2">
        <v>45860.353873182874</v>
      </c>
      <c r="C59" s="2">
        <v>45867.28399974537</v>
      </c>
      <c r="D59" t="s">
        <v>60</v>
      </c>
      <c r="E59" t="s">
        <v>35</v>
      </c>
      <c r="F59" t="s">
        <v>143</v>
      </c>
      <c r="G59" t="s">
        <v>29</v>
      </c>
      <c r="H59" s="2">
        <f>Table1[[#This Row],[resolution_date]]-Table1[[#This Row],[submission_date]]</f>
        <v>6.930126562496298</v>
      </c>
      <c r="I59" s="2" t="str">
        <f>TEXT(Table1[[#This Row],[submission_date]],"ddd")</f>
        <v>Tue</v>
      </c>
      <c r="J59" s="2" t="str">
        <f>TEXT(Table1[[#This Row],[submission_date]],"mmm")</f>
        <v>Jul</v>
      </c>
      <c r="K59" s="10">
        <f>Table1[[#This Row],[Resolution Time]]*24</f>
        <v>166.32303749991115</v>
      </c>
    </row>
    <row r="60" spans="1:11" x14ac:dyDescent="0.3">
      <c r="A60" t="s">
        <v>144</v>
      </c>
      <c r="B60" s="2">
        <v>45875.571420300927</v>
      </c>
      <c r="C60" s="2">
        <v>45877.303206296296</v>
      </c>
      <c r="D60" t="s">
        <v>8</v>
      </c>
      <c r="E60" t="s">
        <v>35</v>
      </c>
      <c r="F60" t="s">
        <v>145</v>
      </c>
      <c r="G60" t="s">
        <v>16</v>
      </c>
      <c r="H60" s="2">
        <f>Table1[[#This Row],[resolution_date]]-Table1[[#This Row],[submission_date]]</f>
        <v>1.7317859953691368</v>
      </c>
      <c r="I60" s="2" t="str">
        <f>TEXT(Table1[[#This Row],[submission_date]],"ddd")</f>
        <v>Wed</v>
      </c>
      <c r="J60" s="2" t="str">
        <f>TEXT(Table1[[#This Row],[submission_date]],"mmm")</f>
        <v>Aug</v>
      </c>
      <c r="K60" s="10">
        <f>Table1[[#This Row],[Resolution Time]]*24</f>
        <v>41.562863888859283</v>
      </c>
    </row>
    <row r="61" spans="1:11" x14ac:dyDescent="0.3">
      <c r="A61" t="s">
        <v>146</v>
      </c>
      <c r="B61" s="2">
        <v>45827.276196747684</v>
      </c>
      <c r="C61" s="2">
        <v>45828.595821400464</v>
      </c>
      <c r="D61" t="s">
        <v>13</v>
      </c>
      <c r="E61" t="s">
        <v>32</v>
      </c>
      <c r="F61" t="s">
        <v>147</v>
      </c>
      <c r="G61" t="s">
        <v>16</v>
      </c>
      <c r="H61" s="2">
        <f>Table1[[#This Row],[resolution_date]]-Table1[[#This Row],[submission_date]]</f>
        <v>1.319624652780476</v>
      </c>
      <c r="I61" s="2" t="str">
        <f>TEXT(Table1[[#This Row],[submission_date]],"ddd")</f>
        <v>Thu</v>
      </c>
      <c r="J61" s="2" t="str">
        <f>TEXT(Table1[[#This Row],[submission_date]],"mmm")</f>
        <v>Jun</v>
      </c>
      <c r="K61" s="10">
        <f>Table1[[#This Row],[Resolution Time]]*24</f>
        <v>31.670991666731425</v>
      </c>
    </row>
    <row r="62" spans="1:11" x14ac:dyDescent="0.3">
      <c r="A62" t="s">
        <v>148</v>
      </c>
      <c r="B62" s="2">
        <v>45896.462244918985</v>
      </c>
      <c r="C62" s="2">
        <v>45897.49294236111</v>
      </c>
      <c r="D62" t="s">
        <v>21</v>
      </c>
      <c r="E62" t="s">
        <v>22</v>
      </c>
      <c r="F62" t="s">
        <v>149</v>
      </c>
      <c r="G62" t="s">
        <v>16</v>
      </c>
      <c r="H62" s="2">
        <f>Table1[[#This Row],[resolution_date]]-Table1[[#This Row],[submission_date]]</f>
        <v>1.0306974421255291</v>
      </c>
      <c r="I62" s="2" t="str">
        <f>TEXT(Table1[[#This Row],[submission_date]],"ddd")</f>
        <v>Wed</v>
      </c>
      <c r="J62" s="2" t="str">
        <f>TEXT(Table1[[#This Row],[submission_date]],"mmm")</f>
        <v>Aug</v>
      </c>
      <c r="K62" s="10">
        <f>Table1[[#This Row],[Resolution Time]]*24</f>
        <v>24.736738611012697</v>
      </c>
    </row>
    <row r="63" spans="1:11" x14ac:dyDescent="0.3">
      <c r="A63" t="s">
        <v>150</v>
      </c>
      <c r="B63" s="2">
        <v>45910.846970937499</v>
      </c>
      <c r="C63" s="2">
        <v>45912.419087835646</v>
      </c>
      <c r="D63" t="s">
        <v>13</v>
      </c>
      <c r="E63" t="s">
        <v>9</v>
      </c>
      <c r="F63" t="s">
        <v>151</v>
      </c>
      <c r="G63" t="s">
        <v>16</v>
      </c>
      <c r="H63" s="2">
        <f>Table1[[#This Row],[resolution_date]]-Table1[[#This Row],[submission_date]]</f>
        <v>1.5721168981472147</v>
      </c>
      <c r="I63" s="2" t="str">
        <f>TEXT(Table1[[#This Row],[submission_date]],"ddd")</f>
        <v>Wed</v>
      </c>
      <c r="J63" s="2" t="str">
        <f>TEXT(Table1[[#This Row],[submission_date]],"mmm")</f>
        <v>Sep</v>
      </c>
      <c r="K63" s="10">
        <f>Table1[[#This Row],[Resolution Time]]*24</f>
        <v>37.730805555533152</v>
      </c>
    </row>
    <row r="64" spans="1:11" x14ac:dyDescent="0.3">
      <c r="A64" t="s">
        <v>152</v>
      </c>
      <c r="B64" s="2">
        <v>45839.694215011572</v>
      </c>
      <c r="C64" s="2">
        <v>45840.681742858796</v>
      </c>
      <c r="D64" t="s">
        <v>13</v>
      </c>
      <c r="E64" t="s">
        <v>42</v>
      </c>
      <c r="F64" t="s">
        <v>153</v>
      </c>
      <c r="G64" t="s">
        <v>16</v>
      </c>
      <c r="H64" s="2">
        <f>Table1[[#This Row],[resolution_date]]-Table1[[#This Row],[submission_date]]</f>
        <v>0.98752784722455544</v>
      </c>
      <c r="I64" s="2" t="str">
        <f>TEXT(Table1[[#This Row],[submission_date]],"ddd")</f>
        <v>Tue</v>
      </c>
      <c r="J64" s="2" t="str">
        <f>TEXT(Table1[[#This Row],[submission_date]],"mmm")</f>
        <v>Jul</v>
      </c>
      <c r="K64" s="10">
        <f>Table1[[#This Row],[Resolution Time]]*24</f>
        <v>23.700668333389331</v>
      </c>
    </row>
    <row r="65" spans="1:11" x14ac:dyDescent="0.3">
      <c r="A65" t="s">
        <v>154</v>
      </c>
      <c r="B65" s="2">
        <v>45871.331352719906</v>
      </c>
      <c r="C65" s="2">
        <v>45871.66361797454</v>
      </c>
      <c r="D65" t="s">
        <v>31</v>
      </c>
      <c r="E65" t="s">
        <v>42</v>
      </c>
      <c r="F65" t="s">
        <v>155</v>
      </c>
      <c r="G65" t="s">
        <v>11</v>
      </c>
      <c r="H65" s="2">
        <f>Table1[[#This Row],[resolution_date]]-Table1[[#This Row],[submission_date]]</f>
        <v>0.33226525463396683</v>
      </c>
      <c r="I65" s="2" t="str">
        <f>TEXT(Table1[[#This Row],[submission_date]],"ddd")</f>
        <v>Sat</v>
      </c>
      <c r="J65" s="2" t="str">
        <f>TEXT(Table1[[#This Row],[submission_date]],"mmm")</f>
        <v>Aug</v>
      </c>
      <c r="K65" s="10">
        <f>Table1[[#This Row],[Resolution Time]]*24</f>
        <v>7.974366111215204</v>
      </c>
    </row>
    <row r="66" spans="1:11" x14ac:dyDescent="0.3">
      <c r="A66" t="s">
        <v>156</v>
      </c>
      <c r="B66" s="2">
        <v>45910.248753749998</v>
      </c>
      <c r="C66" s="2">
        <v>45910.584669618052</v>
      </c>
      <c r="D66" t="s">
        <v>31</v>
      </c>
      <c r="E66" t="s">
        <v>25</v>
      </c>
      <c r="F66" t="s">
        <v>157</v>
      </c>
      <c r="G66" t="s">
        <v>16</v>
      </c>
      <c r="H66" s="2">
        <f>Table1[[#This Row],[resolution_date]]-Table1[[#This Row],[submission_date]]</f>
        <v>0.33591586805414408</v>
      </c>
      <c r="I66" s="2" t="str">
        <f>TEXT(Table1[[#This Row],[submission_date]],"ddd")</f>
        <v>Wed</v>
      </c>
      <c r="J66" s="2" t="str">
        <f>TEXT(Table1[[#This Row],[submission_date]],"mmm")</f>
        <v>Sep</v>
      </c>
      <c r="K66" s="10">
        <f>Table1[[#This Row],[Resolution Time]]*24</f>
        <v>8.061980833299458</v>
      </c>
    </row>
    <row r="67" spans="1:11" x14ac:dyDescent="0.3">
      <c r="A67" t="s">
        <v>158</v>
      </c>
      <c r="B67" s="2">
        <v>45886.799485474534</v>
      </c>
      <c r="C67" s="2">
        <v>45887.413612974538</v>
      </c>
      <c r="D67" t="s">
        <v>45</v>
      </c>
      <c r="E67" t="s">
        <v>9</v>
      </c>
      <c r="F67" t="s">
        <v>159</v>
      </c>
      <c r="G67" t="s">
        <v>16</v>
      </c>
      <c r="H67" s="2">
        <f>Table1[[#This Row],[resolution_date]]-Table1[[#This Row],[submission_date]]</f>
        <v>0.61412750000454253</v>
      </c>
      <c r="I67" s="2" t="str">
        <f>TEXT(Table1[[#This Row],[submission_date]],"ddd")</f>
        <v>Sun</v>
      </c>
      <c r="J67" s="2" t="str">
        <f>TEXT(Table1[[#This Row],[submission_date]],"mmm")</f>
        <v>Aug</v>
      </c>
      <c r="K67" s="10">
        <f>Table1[[#This Row],[Resolution Time]]*24</f>
        <v>14.739060000109021</v>
      </c>
    </row>
    <row r="68" spans="1:11" x14ac:dyDescent="0.3">
      <c r="A68" t="s">
        <v>160</v>
      </c>
      <c r="B68" s="2">
        <v>45856.265250370372</v>
      </c>
      <c r="C68" s="2">
        <v>45861.837133449073</v>
      </c>
      <c r="D68" t="s">
        <v>21</v>
      </c>
      <c r="E68" t="s">
        <v>18</v>
      </c>
      <c r="F68" t="s">
        <v>161</v>
      </c>
      <c r="G68" t="s">
        <v>29</v>
      </c>
      <c r="H68" s="2">
        <f>Table1[[#This Row],[resolution_date]]-Table1[[#This Row],[submission_date]]</f>
        <v>5.571883078700921</v>
      </c>
      <c r="I68" s="2" t="str">
        <f>TEXT(Table1[[#This Row],[submission_date]],"ddd")</f>
        <v>Fri</v>
      </c>
      <c r="J68" s="2" t="str">
        <f>TEXT(Table1[[#This Row],[submission_date]],"mmm")</f>
        <v>Jul</v>
      </c>
      <c r="K68" s="10">
        <f>Table1[[#This Row],[Resolution Time]]*24</f>
        <v>133.7251938888221</v>
      </c>
    </row>
    <row r="69" spans="1:11" x14ac:dyDescent="0.3">
      <c r="A69" t="s">
        <v>162</v>
      </c>
      <c r="B69" s="2">
        <v>45844.096052199071</v>
      </c>
      <c r="C69" s="2">
        <v>45845.543753993057</v>
      </c>
      <c r="D69" t="s">
        <v>45</v>
      </c>
      <c r="E69" t="s">
        <v>42</v>
      </c>
      <c r="F69" t="s">
        <v>163</v>
      </c>
      <c r="G69" t="s">
        <v>16</v>
      </c>
      <c r="H69" s="2">
        <f>Table1[[#This Row],[resolution_date]]-Table1[[#This Row],[submission_date]]</f>
        <v>1.447701793986198</v>
      </c>
      <c r="I69" s="2" t="str">
        <f>TEXT(Table1[[#This Row],[submission_date]],"ddd")</f>
        <v>Sun</v>
      </c>
      <c r="J69" s="2" t="str">
        <f>TEXT(Table1[[#This Row],[submission_date]],"mmm")</f>
        <v>Jul</v>
      </c>
      <c r="K69" s="10">
        <f>Table1[[#This Row],[Resolution Time]]*24</f>
        <v>34.744843055668753</v>
      </c>
    </row>
    <row r="70" spans="1:11" x14ac:dyDescent="0.3">
      <c r="A70" t="s">
        <v>164</v>
      </c>
      <c r="B70" s="2">
        <v>45894.949184375</v>
      </c>
      <c r="C70" s="2">
        <v>45898.220131793983</v>
      </c>
      <c r="D70" t="s">
        <v>13</v>
      </c>
      <c r="E70" t="s">
        <v>32</v>
      </c>
      <c r="F70" t="s">
        <v>165</v>
      </c>
      <c r="G70" t="s">
        <v>29</v>
      </c>
      <c r="H70" s="2">
        <f>Table1[[#This Row],[resolution_date]]-Table1[[#This Row],[submission_date]]</f>
        <v>3.270947418983269</v>
      </c>
      <c r="I70" s="2" t="str">
        <f>TEXT(Table1[[#This Row],[submission_date]],"ddd")</f>
        <v>Mon</v>
      </c>
      <c r="J70" s="2" t="str">
        <f>TEXT(Table1[[#This Row],[submission_date]],"mmm")</f>
        <v>Aug</v>
      </c>
      <c r="K70" s="10">
        <f>Table1[[#This Row],[Resolution Time]]*24</f>
        <v>78.502738055598456</v>
      </c>
    </row>
    <row r="71" spans="1:11" x14ac:dyDescent="0.3">
      <c r="A71" t="s">
        <v>166</v>
      </c>
      <c r="B71" s="2">
        <v>45907.021170486114</v>
      </c>
      <c r="C71" s="2">
        <v>45908.025708969908</v>
      </c>
      <c r="D71" t="s">
        <v>13</v>
      </c>
      <c r="E71" t="s">
        <v>25</v>
      </c>
      <c r="F71" t="s">
        <v>167</v>
      </c>
      <c r="G71" t="s">
        <v>16</v>
      </c>
      <c r="H71" s="2">
        <f>Table1[[#This Row],[resolution_date]]-Table1[[#This Row],[submission_date]]</f>
        <v>1.0045384837940219</v>
      </c>
      <c r="I71" s="2" t="str">
        <f>TEXT(Table1[[#This Row],[submission_date]],"ddd")</f>
        <v>Sun</v>
      </c>
      <c r="J71" s="2" t="str">
        <f>TEXT(Table1[[#This Row],[submission_date]],"mmm")</f>
        <v>Sep</v>
      </c>
      <c r="K71" s="10">
        <f>Table1[[#This Row],[Resolution Time]]*24</f>
        <v>24.108923611056525</v>
      </c>
    </row>
    <row r="72" spans="1:11" x14ac:dyDescent="0.3">
      <c r="A72" t="s">
        <v>168</v>
      </c>
      <c r="B72" s="2">
        <v>45859.915516805559</v>
      </c>
      <c r="C72" s="2">
        <v>45860.049579155093</v>
      </c>
      <c r="D72" t="s">
        <v>21</v>
      </c>
      <c r="E72" t="s">
        <v>42</v>
      </c>
      <c r="F72" t="s">
        <v>169</v>
      </c>
      <c r="G72" t="s">
        <v>115</v>
      </c>
      <c r="H72" s="2">
        <f>Table1[[#This Row],[resolution_date]]-Table1[[#This Row],[submission_date]]</f>
        <v>0.13406234953436069</v>
      </c>
      <c r="I72" s="2" t="str">
        <f>TEXT(Table1[[#This Row],[submission_date]],"ddd")</f>
        <v>Mon</v>
      </c>
      <c r="J72" s="2" t="str">
        <f>TEXT(Table1[[#This Row],[submission_date]],"mmm")</f>
        <v>Jul</v>
      </c>
      <c r="K72" s="10">
        <f>Table1[[#This Row],[Resolution Time]]*24</f>
        <v>3.2174963888246566</v>
      </c>
    </row>
    <row r="73" spans="1:11" x14ac:dyDescent="0.3">
      <c r="A73" t="s">
        <v>170</v>
      </c>
      <c r="B73" s="2">
        <v>45862.538502326388</v>
      </c>
      <c r="C73" s="2">
        <v>45863.373908437497</v>
      </c>
      <c r="D73" t="s">
        <v>13</v>
      </c>
      <c r="E73" t="s">
        <v>18</v>
      </c>
      <c r="F73" t="s">
        <v>171</v>
      </c>
      <c r="G73" t="s">
        <v>16</v>
      </c>
      <c r="H73" s="2">
        <f>Table1[[#This Row],[resolution_date]]-Table1[[#This Row],[submission_date]]</f>
        <v>0.83540611110947793</v>
      </c>
      <c r="I73" s="2" t="str">
        <f>TEXT(Table1[[#This Row],[submission_date]],"ddd")</f>
        <v>Thu</v>
      </c>
      <c r="J73" s="2" t="str">
        <f>TEXT(Table1[[#This Row],[submission_date]],"mmm")</f>
        <v>Jul</v>
      </c>
      <c r="K73" s="10">
        <f>Table1[[#This Row],[Resolution Time]]*24</f>
        <v>20.04974666662747</v>
      </c>
    </row>
    <row r="74" spans="1:11" x14ac:dyDescent="0.3">
      <c r="A74" t="s">
        <v>172</v>
      </c>
      <c r="B74" s="2">
        <v>45826.321113136575</v>
      </c>
      <c r="C74" s="2">
        <v>45827.897584212966</v>
      </c>
      <c r="D74" t="s">
        <v>45</v>
      </c>
      <c r="E74" t="s">
        <v>42</v>
      </c>
      <c r="F74" t="s">
        <v>173</v>
      </c>
      <c r="G74" t="s">
        <v>16</v>
      </c>
      <c r="H74" s="2">
        <f>Table1[[#This Row],[resolution_date]]-Table1[[#This Row],[submission_date]]</f>
        <v>1.5764710763905896</v>
      </c>
      <c r="I74" s="2" t="str">
        <f>TEXT(Table1[[#This Row],[submission_date]],"ddd")</f>
        <v>Wed</v>
      </c>
      <c r="J74" s="2" t="str">
        <f>TEXT(Table1[[#This Row],[submission_date]],"mmm")</f>
        <v>Jun</v>
      </c>
      <c r="K74" s="10">
        <f>Table1[[#This Row],[Resolution Time]]*24</f>
        <v>37.83530583337415</v>
      </c>
    </row>
    <row r="75" spans="1:11" x14ac:dyDescent="0.3">
      <c r="A75" t="s">
        <v>174</v>
      </c>
      <c r="B75" s="2">
        <v>45903.107100034722</v>
      </c>
      <c r="C75" s="2">
        <v>45903.445007858798</v>
      </c>
      <c r="D75" t="s">
        <v>8</v>
      </c>
      <c r="E75" t="s">
        <v>46</v>
      </c>
      <c r="F75" t="s">
        <v>175</v>
      </c>
      <c r="G75" t="s">
        <v>11</v>
      </c>
      <c r="H75" s="2">
        <f>Table1[[#This Row],[resolution_date]]-Table1[[#This Row],[submission_date]]</f>
        <v>0.33790782407595543</v>
      </c>
      <c r="I75" s="2" t="str">
        <f>TEXT(Table1[[#This Row],[submission_date]],"ddd")</f>
        <v>Wed</v>
      </c>
      <c r="J75" s="2" t="str">
        <f>TEXT(Table1[[#This Row],[submission_date]],"mmm")</f>
        <v>Sep</v>
      </c>
      <c r="K75" s="10">
        <f>Table1[[#This Row],[Resolution Time]]*24</f>
        <v>8.1097877778229304</v>
      </c>
    </row>
    <row r="76" spans="1:11" x14ac:dyDescent="0.3">
      <c r="A76" t="s">
        <v>176</v>
      </c>
      <c r="B76" s="2">
        <v>45877.970792118052</v>
      </c>
      <c r="C76" s="2">
        <v>45883.972063807872</v>
      </c>
      <c r="D76" t="s">
        <v>60</v>
      </c>
      <c r="E76" t="s">
        <v>14</v>
      </c>
      <c r="F76" t="s">
        <v>177</v>
      </c>
      <c r="G76" t="s">
        <v>29</v>
      </c>
      <c r="H76" s="2">
        <f>Table1[[#This Row],[resolution_date]]-Table1[[#This Row],[submission_date]]</f>
        <v>6.0012716898199869</v>
      </c>
      <c r="I76" s="2" t="str">
        <f>TEXT(Table1[[#This Row],[submission_date]],"ddd")</f>
        <v>Fri</v>
      </c>
      <c r="J76" s="2" t="str">
        <f>TEXT(Table1[[#This Row],[submission_date]],"mmm")</f>
        <v>Aug</v>
      </c>
      <c r="K76" s="10">
        <f>Table1[[#This Row],[Resolution Time]]*24</f>
        <v>144.03052055567969</v>
      </c>
    </row>
    <row r="77" spans="1:11" x14ac:dyDescent="0.3">
      <c r="A77" t="s">
        <v>178</v>
      </c>
      <c r="B77" s="2">
        <v>45897.075165682872</v>
      </c>
      <c r="C77" s="2">
        <v>45897.403448738427</v>
      </c>
      <c r="D77" t="s">
        <v>8</v>
      </c>
      <c r="E77" t="s">
        <v>42</v>
      </c>
      <c r="F77" t="s">
        <v>179</v>
      </c>
      <c r="G77" t="s">
        <v>11</v>
      </c>
      <c r="H77" s="2">
        <f>Table1[[#This Row],[resolution_date]]-Table1[[#This Row],[submission_date]]</f>
        <v>0.32828305555449333</v>
      </c>
      <c r="I77" s="2" t="str">
        <f>TEXT(Table1[[#This Row],[submission_date]],"ddd")</f>
        <v>Thu</v>
      </c>
      <c r="J77" s="2" t="str">
        <f>TEXT(Table1[[#This Row],[submission_date]],"mmm")</f>
        <v>Aug</v>
      </c>
      <c r="K77" s="10">
        <f>Table1[[#This Row],[Resolution Time]]*24</f>
        <v>7.8787933333078399</v>
      </c>
    </row>
    <row r="78" spans="1:11" x14ac:dyDescent="0.3">
      <c r="A78" t="s">
        <v>180</v>
      </c>
      <c r="B78" s="2">
        <v>45858.438465046296</v>
      </c>
      <c r="C78" s="2">
        <v>45858.591115138886</v>
      </c>
      <c r="D78" t="s">
        <v>13</v>
      </c>
      <c r="E78" t="s">
        <v>14</v>
      </c>
      <c r="F78" t="s">
        <v>181</v>
      </c>
      <c r="G78" t="s">
        <v>11</v>
      </c>
      <c r="H78" s="2">
        <f>Table1[[#This Row],[resolution_date]]-Table1[[#This Row],[submission_date]]</f>
        <v>0.1526500925901928</v>
      </c>
      <c r="I78" s="2" t="str">
        <f>TEXT(Table1[[#This Row],[submission_date]],"ddd")</f>
        <v>Sun</v>
      </c>
      <c r="J78" s="2" t="str">
        <f>TEXT(Table1[[#This Row],[submission_date]],"mmm")</f>
        <v>Jul</v>
      </c>
      <c r="K78" s="10">
        <f>Table1[[#This Row],[Resolution Time]]*24</f>
        <v>3.6636022221646272</v>
      </c>
    </row>
    <row r="79" spans="1:11" x14ac:dyDescent="0.3">
      <c r="A79" t="s">
        <v>182</v>
      </c>
      <c r="B79" s="2">
        <v>45855.654603726849</v>
      </c>
      <c r="C79" s="2">
        <v>45855.944653101855</v>
      </c>
      <c r="D79" t="s">
        <v>60</v>
      </c>
      <c r="E79" t="s">
        <v>32</v>
      </c>
      <c r="F79" t="s">
        <v>183</v>
      </c>
      <c r="G79" t="s">
        <v>11</v>
      </c>
      <c r="H79" s="2">
        <f>Table1[[#This Row],[resolution_date]]-Table1[[#This Row],[submission_date]]</f>
        <v>0.29004937500576489</v>
      </c>
      <c r="I79" s="2" t="str">
        <f>TEXT(Table1[[#This Row],[submission_date]],"ddd")</f>
        <v>Thu</v>
      </c>
      <c r="J79" s="2" t="str">
        <f>TEXT(Table1[[#This Row],[submission_date]],"mmm")</f>
        <v>Jul</v>
      </c>
      <c r="K79" s="10">
        <f>Table1[[#This Row],[Resolution Time]]*24</f>
        <v>6.9611850001383573</v>
      </c>
    </row>
    <row r="80" spans="1:11" x14ac:dyDescent="0.3">
      <c r="A80" t="s">
        <v>184</v>
      </c>
      <c r="B80" s="2">
        <v>45861.832680300926</v>
      </c>
      <c r="C80" s="2">
        <v>45864.478965694441</v>
      </c>
      <c r="D80" t="s">
        <v>13</v>
      </c>
      <c r="E80" t="s">
        <v>14</v>
      </c>
      <c r="F80" t="s">
        <v>185</v>
      </c>
      <c r="G80" t="s">
        <v>29</v>
      </c>
      <c r="H80" s="2">
        <f>Table1[[#This Row],[resolution_date]]-Table1[[#This Row],[submission_date]]</f>
        <v>2.6462853935154271</v>
      </c>
      <c r="I80" s="2" t="str">
        <f>TEXT(Table1[[#This Row],[submission_date]],"ddd")</f>
        <v>Wed</v>
      </c>
      <c r="J80" s="2" t="str">
        <f>TEXT(Table1[[#This Row],[submission_date]],"mmm")</f>
        <v>Jul</v>
      </c>
      <c r="K80" s="10">
        <f>Table1[[#This Row],[Resolution Time]]*24</f>
        <v>63.510849444370251</v>
      </c>
    </row>
    <row r="81" spans="1:11" x14ac:dyDescent="0.3">
      <c r="A81" t="s">
        <v>186</v>
      </c>
      <c r="B81" s="2">
        <v>45835.874010046296</v>
      </c>
      <c r="C81" s="2">
        <v>45839.839174652778</v>
      </c>
      <c r="D81" t="s">
        <v>45</v>
      </c>
      <c r="E81" t="s">
        <v>14</v>
      </c>
      <c r="F81" t="s">
        <v>187</v>
      </c>
      <c r="G81" t="s">
        <v>29</v>
      </c>
      <c r="H81" s="2">
        <f>Table1[[#This Row],[resolution_date]]-Table1[[#This Row],[submission_date]]</f>
        <v>3.9651646064812667</v>
      </c>
      <c r="I81" s="2" t="str">
        <f>TEXT(Table1[[#This Row],[submission_date]],"ddd")</f>
        <v>Fri</v>
      </c>
      <c r="J81" s="2" t="str">
        <f>TEXT(Table1[[#This Row],[submission_date]],"mmm")</f>
        <v>Jun</v>
      </c>
      <c r="K81" s="10">
        <f>Table1[[#This Row],[Resolution Time]]*24</f>
        <v>95.1639505555504</v>
      </c>
    </row>
    <row r="82" spans="1:11" x14ac:dyDescent="0.3">
      <c r="A82" t="s">
        <v>188</v>
      </c>
      <c r="B82" s="2">
        <v>45827.696929745369</v>
      </c>
      <c r="C82" s="2">
        <v>45833.939332164351</v>
      </c>
      <c r="D82" t="s">
        <v>13</v>
      </c>
      <c r="E82" t="s">
        <v>35</v>
      </c>
      <c r="F82" t="s">
        <v>189</v>
      </c>
      <c r="G82" t="s">
        <v>29</v>
      </c>
      <c r="H82" s="2">
        <f>Table1[[#This Row],[resolution_date]]-Table1[[#This Row],[submission_date]]</f>
        <v>6.2424024189822376</v>
      </c>
      <c r="I82" s="2" t="str">
        <f>TEXT(Table1[[#This Row],[submission_date]],"ddd")</f>
        <v>Thu</v>
      </c>
      <c r="J82" s="2" t="str">
        <f>TEXT(Table1[[#This Row],[submission_date]],"mmm")</f>
        <v>Jun</v>
      </c>
      <c r="K82" s="10">
        <f>Table1[[#This Row],[Resolution Time]]*24</f>
        <v>149.8176580555737</v>
      </c>
    </row>
    <row r="83" spans="1:11" x14ac:dyDescent="0.3">
      <c r="A83" t="s">
        <v>190</v>
      </c>
      <c r="B83" s="2">
        <v>45835.035242280093</v>
      </c>
      <c r="C83" s="2">
        <v>45839.417101817133</v>
      </c>
      <c r="D83" t="s">
        <v>31</v>
      </c>
      <c r="E83" t="s">
        <v>22</v>
      </c>
      <c r="F83" t="s">
        <v>191</v>
      </c>
      <c r="G83" t="s">
        <v>29</v>
      </c>
      <c r="H83" s="2">
        <f>Table1[[#This Row],[resolution_date]]-Table1[[#This Row],[submission_date]]</f>
        <v>4.3818595370394178</v>
      </c>
      <c r="I83" s="2" t="str">
        <f>TEXT(Table1[[#This Row],[submission_date]],"ddd")</f>
        <v>Fri</v>
      </c>
      <c r="J83" s="2" t="str">
        <f>TEXT(Table1[[#This Row],[submission_date]],"mmm")</f>
        <v>Jun</v>
      </c>
      <c r="K83" s="10">
        <f>Table1[[#This Row],[Resolution Time]]*24</f>
        <v>105.16462888894603</v>
      </c>
    </row>
    <row r="84" spans="1:11" x14ac:dyDescent="0.3">
      <c r="A84" t="s">
        <v>192</v>
      </c>
      <c r="B84" s="2">
        <v>45879.470454189817</v>
      </c>
      <c r="C84" s="2">
        <v>45881.348121898147</v>
      </c>
      <c r="D84" t="s">
        <v>13</v>
      </c>
      <c r="E84" t="s">
        <v>14</v>
      </c>
      <c r="F84" t="s">
        <v>193</v>
      </c>
      <c r="G84" t="s">
        <v>16</v>
      </c>
      <c r="H84" s="2">
        <f>Table1[[#This Row],[resolution_date]]-Table1[[#This Row],[submission_date]]</f>
        <v>1.8776677083296818</v>
      </c>
      <c r="I84" s="2" t="str">
        <f>TEXT(Table1[[#This Row],[submission_date]],"ddd")</f>
        <v>Sun</v>
      </c>
      <c r="J84" s="2" t="str">
        <f>TEXT(Table1[[#This Row],[submission_date]],"mmm")</f>
        <v>Aug</v>
      </c>
      <c r="K84" s="10">
        <f>Table1[[#This Row],[Resolution Time]]*24</f>
        <v>45.064024999912363</v>
      </c>
    </row>
    <row r="85" spans="1:11" x14ac:dyDescent="0.3">
      <c r="A85" t="s">
        <v>194</v>
      </c>
      <c r="B85" s="2">
        <v>45867.075831828704</v>
      </c>
      <c r="C85" s="2">
        <v>45869.559900428241</v>
      </c>
      <c r="D85" t="s">
        <v>81</v>
      </c>
      <c r="E85" t="s">
        <v>25</v>
      </c>
      <c r="F85" t="s">
        <v>195</v>
      </c>
      <c r="G85" t="s">
        <v>29</v>
      </c>
      <c r="H85" s="2">
        <f>Table1[[#This Row],[resolution_date]]-Table1[[#This Row],[submission_date]]</f>
        <v>2.4840685995368403</v>
      </c>
      <c r="I85" s="2" t="str">
        <f>TEXT(Table1[[#This Row],[submission_date]],"ddd")</f>
        <v>Tue</v>
      </c>
      <c r="J85" s="2" t="str">
        <f>TEXT(Table1[[#This Row],[submission_date]],"mmm")</f>
        <v>Jul</v>
      </c>
      <c r="K85" s="10">
        <f>Table1[[#This Row],[Resolution Time]]*24</f>
        <v>59.617646388884168</v>
      </c>
    </row>
    <row r="86" spans="1:11" x14ac:dyDescent="0.3">
      <c r="A86" t="s">
        <v>196</v>
      </c>
      <c r="B86" s="2">
        <v>45844.422962789351</v>
      </c>
      <c r="C86" s="2">
        <v>45849.014388842596</v>
      </c>
      <c r="D86" t="s">
        <v>21</v>
      </c>
      <c r="E86" t="s">
        <v>55</v>
      </c>
      <c r="F86" t="s">
        <v>197</v>
      </c>
      <c r="G86" t="s">
        <v>29</v>
      </c>
      <c r="H86" s="2">
        <f>Table1[[#This Row],[resolution_date]]-Table1[[#This Row],[submission_date]]</f>
        <v>4.5914260532445041</v>
      </c>
      <c r="I86" s="2" t="str">
        <f>TEXT(Table1[[#This Row],[submission_date]],"ddd")</f>
        <v>Sun</v>
      </c>
      <c r="J86" s="2" t="str">
        <f>TEXT(Table1[[#This Row],[submission_date]],"mmm")</f>
        <v>Jul</v>
      </c>
      <c r="K86" s="10">
        <f>Table1[[#This Row],[Resolution Time]]*24</f>
        <v>110.1942252778681</v>
      </c>
    </row>
    <row r="87" spans="1:11" x14ac:dyDescent="0.3">
      <c r="A87" t="s">
        <v>198</v>
      </c>
      <c r="B87" s="2">
        <v>45868.183028981482</v>
      </c>
      <c r="C87" s="2">
        <v>45868.547340937497</v>
      </c>
      <c r="D87" t="s">
        <v>31</v>
      </c>
      <c r="E87" t="s">
        <v>32</v>
      </c>
      <c r="F87" t="s">
        <v>199</v>
      </c>
      <c r="G87" t="s">
        <v>11</v>
      </c>
      <c r="H87" s="2">
        <f>Table1[[#This Row],[resolution_date]]-Table1[[#This Row],[submission_date]]</f>
        <v>0.364311956014717</v>
      </c>
      <c r="I87" s="2" t="str">
        <f>TEXT(Table1[[#This Row],[submission_date]],"ddd")</f>
        <v>Wed</v>
      </c>
      <c r="J87" s="2" t="str">
        <f>TEXT(Table1[[#This Row],[submission_date]],"mmm")</f>
        <v>Jul</v>
      </c>
      <c r="K87" s="10">
        <f>Table1[[#This Row],[Resolution Time]]*24</f>
        <v>8.7434869443532079</v>
      </c>
    </row>
    <row r="88" spans="1:11" x14ac:dyDescent="0.3">
      <c r="A88" t="s">
        <v>200</v>
      </c>
      <c r="B88" s="2">
        <v>45892.221289976849</v>
      </c>
      <c r="C88" s="2">
        <v>45893.692486550928</v>
      </c>
      <c r="D88" t="s">
        <v>13</v>
      </c>
      <c r="E88" t="s">
        <v>42</v>
      </c>
      <c r="F88" t="s">
        <v>201</v>
      </c>
      <c r="G88" t="s">
        <v>16</v>
      </c>
      <c r="H88" s="2">
        <f>Table1[[#This Row],[resolution_date]]-Table1[[#This Row],[submission_date]]</f>
        <v>1.471196574078931</v>
      </c>
      <c r="I88" s="2" t="str">
        <f>TEXT(Table1[[#This Row],[submission_date]],"ddd")</f>
        <v>Sat</v>
      </c>
      <c r="J88" s="2" t="str">
        <f>TEXT(Table1[[#This Row],[submission_date]],"mmm")</f>
        <v>Aug</v>
      </c>
      <c r="K88" s="10">
        <f>Table1[[#This Row],[Resolution Time]]*24</f>
        <v>35.308717777894344</v>
      </c>
    </row>
    <row r="89" spans="1:11" x14ac:dyDescent="0.3">
      <c r="A89" t="s">
        <v>202</v>
      </c>
      <c r="B89" s="2">
        <v>45848.132901874997</v>
      </c>
      <c r="C89" s="2">
        <v>45848.966689872686</v>
      </c>
      <c r="D89" t="s">
        <v>21</v>
      </c>
      <c r="E89" t="s">
        <v>18</v>
      </c>
      <c r="F89" t="s">
        <v>203</v>
      </c>
      <c r="G89" t="s">
        <v>16</v>
      </c>
      <c r="H89" s="2">
        <f>Table1[[#This Row],[resolution_date]]-Table1[[#This Row],[submission_date]]</f>
        <v>0.83378799768979661</v>
      </c>
      <c r="I89" s="2" t="str">
        <f>TEXT(Table1[[#This Row],[submission_date]],"ddd")</f>
        <v>Thu</v>
      </c>
      <c r="J89" s="2" t="str">
        <f>TEXT(Table1[[#This Row],[submission_date]],"mmm")</f>
        <v>Jul</v>
      </c>
      <c r="K89" s="10">
        <f>Table1[[#This Row],[Resolution Time]]*24</f>
        <v>20.010911944555119</v>
      </c>
    </row>
    <row r="90" spans="1:11" x14ac:dyDescent="0.3">
      <c r="A90" t="s">
        <v>204</v>
      </c>
      <c r="B90" s="2">
        <v>45912.790745324077</v>
      </c>
      <c r="C90" s="2">
        <v>45914.105542256948</v>
      </c>
      <c r="D90" t="s">
        <v>13</v>
      </c>
      <c r="E90" t="s">
        <v>32</v>
      </c>
      <c r="F90" t="s">
        <v>205</v>
      </c>
      <c r="G90" t="s">
        <v>16</v>
      </c>
      <c r="H90" s="2">
        <f>Table1[[#This Row],[resolution_date]]-Table1[[#This Row],[submission_date]]</f>
        <v>1.3147969328711042</v>
      </c>
      <c r="I90" s="2" t="str">
        <f>TEXT(Table1[[#This Row],[submission_date]],"ddd")</f>
        <v>Fri</v>
      </c>
      <c r="J90" s="2" t="str">
        <f>TEXT(Table1[[#This Row],[submission_date]],"mmm")</f>
        <v>Sep</v>
      </c>
      <c r="K90" s="10">
        <f>Table1[[#This Row],[Resolution Time]]*24</f>
        <v>31.555126388906501</v>
      </c>
    </row>
    <row r="91" spans="1:11" x14ac:dyDescent="0.3">
      <c r="A91" t="s">
        <v>206</v>
      </c>
      <c r="B91" s="2">
        <v>45902.639425532405</v>
      </c>
      <c r="C91" s="2">
        <v>45908.681624143515</v>
      </c>
      <c r="D91" t="s">
        <v>13</v>
      </c>
      <c r="E91" t="s">
        <v>32</v>
      </c>
      <c r="F91" t="s">
        <v>207</v>
      </c>
      <c r="G91" t="s">
        <v>29</v>
      </c>
      <c r="H91" s="2">
        <f>Table1[[#This Row],[resolution_date]]-Table1[[#This Row],[submission_date]]</f>
        <v>6.042198611110507</v>
      </c>
      <c r="I91" s="2" t="str">
        <f>TEXT(Table1[[#This Row],[submission_date]],"ddd")</f>
        <v>Tue</v>
      </c>
      <c r="J91" s="2" t="str">
        <f>TEXT(Table1[[#This Row],[submission_date]],"mmm")</f>
        <v>Sep</v>
      </c>
      <c r="K91" s="10">
        <f>Table1[[#This Row],[Resolution Time]]*24</f>
        <v>145.01276666665217</v>
      </c>
    </row>
    <row r="92" spans="1:11" x14ac:dyDescent="0.3">
      <c r="A92" t="s">
        <v>208</v>
      </c>
      <c r="B92" s="2">
        <v>45850.503205740744</v>
      </c>
      <c r="C92" s="2">
        <v>45851.26551005787</v>
      </c>
      <c r="D92" t="s">
        <v>13</v>
      </c>
      <c r="E92" t="s">
        <v>9</v>
      </c>
      <c r="F92" t="s">
        <v>209</v>
      </c>
      <c r="G92" t="s">
        <v>16</v>
      </c>
      <c r="H92" s="2">
        <f>Table1[[#This Row],[resolution_date]]-Table1[[#This Row],[submission_date]]</f>
        <v>0.7623043171261088</v>
      </c>
      <c r="I92" s="2" t="str">
        <f>TEXT(Table1[[#This Row],[submission_date]],"ddd")</f>
        <v>Sat</v>
      </c>
      <c r="J92" s="2" t="str">
        <f>TEXT(Table1[[#This Row],[submission_date]],"mmm")</f>
        <v>Jul</v>
      </c>
      <c r="K92" s="10">
        <f>Table1[[#This Row],[Resolution Time]]*24</f>
        <v>18.295303611026611</v>
      </c>
    </row>
    <row r="93" spans="1:11" x14ac:dyDescent="0.3">
      <c r="A93" t="s">
        <v>210</v>
      </c>
      <c r="B93" s="2">
        <v>45875.192167974536</v>
      </c>
      <c r="C93" s="2">
        <v>45881.464590856478</v>
      </c>
      <c r="D93" t="s">
        <v>13</v>
      </c>
      <c r="E93" t="s">
        <v>32</v>
      </c>
      <c r="F93" t="s">
        <v>211</v>
      </c>
      <c r="G93" t="s">
        <v>29</v>
      </c>
      <c r="H93" s="2">
        <f>Table1[[#This Row],[resolution_date]]-Table1[[#This Row],[submission_date]]</f>
        <v>6.2724228819424752</v>
      </c>
      <c r="I93" s="2" t="str">
        <f>TEXT(Table1[[#This Row],[submission_date]],"ddd")</f>
        <v>Wed</v>
      </c>
      <c r="J93" s="2" t="str">
        <f>TEXT(Table1[[#This Row],[submission_date]],"mmm")</f>
        <v>Aug</v>
      </c>
      <c r="K93" s="10">
        <f>Table1[[#This Row],[Resolution Time]]*24</f>
        <v>150.53814916661941</v>
      </c>
    </row>
    <row r="94" spans="1:11" x14ac:dyDescent="0.3">
      <c r="A94" t="s">
        <v>212</v>
      </c>
      <c r="B94" s="2">
        <v>45832.518167638889</v>
      </c>
      <c r="C94" s="2">
        <v>45834.451125613428</v>
      </c>
      <c r="D94" t="s">
        <v>45</v>
      </c>
      <c r="E94" t="s">
        <v>22</v>
      </c>
      <c r="F94" t="s">
        <v>213</v>
      </c>
      <c r="G94" t="s">
        <v>16</v>
      </c>
      <c r="H94" s="2">
        <f>Table1[[#This Row],[resolution_date]]-Table1[[#This Row],[submission_date]]</f>
        <v>1.932957974539022</v>
      </c>
      <c r="I94" s="2" t="str">
        <f>TEXT(Table1[[#This Row],[submission_date]],"ddd")</f>
        <v>Tue</v>
      </c>
      <c r="J94" s="2" t="str">
        <f>TEXT(Table1[[#This Row],[submission_date]],"mmm")</f>
        <v>Jun</v>
      </c>
      <c r="K94" s="10">
        <f>Table1[[#This Row],[Resolution Time]]*24</f>
        <v>46.390991388936527</v>
      </c>
    </row>
    <row r="95" spans="1:11" x14ac:dyDescent="0.3">
      <c r="A95" t="s">
        <v>214</v>
      </c>
      <c r="B95" s="2">
        <v>45833.894249444442</v>
      </c>
      <c r="C95" s="2">
        <v>45837.297820671294</v>
      </c>
      <c r="D95" t="s">
        <v>8</v>
      </c>
      <c r="E95" t="s">
        <v>22</v>
      </c>
      <c r="F95" t="s">
        <v>215</v>
      </c>
      <c r="G95" t="s">
        <v>29</v>
      </c>
      <c r="H95" s="2">
        <f>Table1[[#This Row],[resolution_date]]-Table1[[#This Row],[submission_date]]</f>
        <v>3.4035712268523639</v>
      </c>
      <c r="I95" s="2" t="str">
        <f>TEXT(Table1[[#This Row],[submission_date]],"ddd")</f>
        <v>Wed</v>
      </c>
      <c r="J95" s="2" t="str">
        <f>TEXT(Table1[[#This Row],[submission_date]],"mmm")</f>
        <v>Jun</v>
      </c>
      <c r="K95" s="10">
        <f>Table1[[#This Row],[Resolution Time]]*24</f>
        <v>81.685709444456734</v>
      </c>
    </row>
    <row r="96" spans="1:11" x14ac:dyDescent="0.3">
      <c r="A96" t="s">
        <v>216</v>
      </c>
      <c r="B96" s="2">
        <v>45863.629643032407</v>
      </c>
      <c r="C96" s="2">
        <v>45868.030028715279</v>
      </c>
      <c r="D96" t="s">
        <v>31</v>
      </c>
      <c r="E96" t="s">
        <v>42</v>
      </c>
      <c r="F96" t="s">
        <v>217</v>
      </c>
      <c r="G96" t="s">
        <v>29</v>
      </c>
      <c r="H96" s="2">
        <f>Table1[[#This Row],[resolution_date]]-Table1[[#This Row],[submission_date]]</f>
        <v>4.4003856828712742</v>
      </c>
      <c r="I96" s="2" t="str">
        <f>TEXT(Table1[[#This Row],[submission_date]],"ddd")</f>
        <v>Fri</v>
      </c>
      <c r="J96" s="2" t="str">
        <f>TEXT(Table1[[#This Row],[submission_date]],"mmm")</f>
        <v>Jul</v>
      </c>
      <c r="K96" s="10">
        <f>Table1[[#This Row],[Resolution Time]]*24</f>
        <v>105.60925638891058</v>
      </c>
    </row>
    <row r="97" spans="1:11" x14ac:dyDescent="0.3">
      <c r="A97" t="s">
        <v>218</v>
      </c>
      <c r="B97" s="2">
        <v>45863.74130209491</v>
      </c>
      <c r="C97" s="2">
        <v>45864.909261319444</v>
      </c>
      <c r="D97" t="s">
        <v>8</v>
      </c>
      <c r="E97" t="s">
        <v>9</v>
      </c>
      <c r="F97" t="s">
        <v>219</v>
      </c>
      <c r="G97" t="s">
        <v>16</v>
      </c>
      <c r="H97" s="2">
        <f>Table1[[#This Row],[resolution_date]]-Table1[[#This Row],[submission_date]]</f>
        <v>1.1679592245345702</v>
      </c>
      <c r="I97" s="2" t="str">
        <f>TEXT(Table1[[#This Row],[submission_date]],"ddd")</f>
        <v>Fri</v>
      </c>
      <c r="J97" s="2" t="str">
        <f>TEXT(Table1[[#This Row],[submission_date]],"mmm")</f>
        <v>Jul</v>
      </c>
      <c r="K97" s="10">
        <f>Table1[[#This Row],[Resolution Time]]*24</f>
        <v>28.031021388829686</v>
      </c>
    </row>
    <row r="98" spans="1:11" x14ac:dyDescent="0.3">
      <c r="A98" t="s">
        <v>220</v>
      </c>
      <c r="B98" s="2">
        <v>45881.742879791665</v>
      </c>
      <c r="C98" s="2">
        <v>45883.565504467595</v>
      </c>
      <c r="D98" t="s">
        <v>31</v>
      </c>
      <c r="E98" t="s">
        <v>25</v>
      </c>
      <c r="F98" t="s">
        <v>221</v>
      </c>
      <c r="G98" t="s">
        <v>29</v>
      </c>
      <c r="H98" s="2">
        <f>Table1[[#This Row],[resolution_date]]-Table1[[#This Row],[submission_date]]</f>
        <v>1.8226246759295464</v>
      </c>
      <c r="I98" s="2" t="str">
        <f>TEXT(Table1[[#This Row],[submission_date]],"ddd")</f>
        <v>Tue</v>
      </c>
      <c r="J98" s="2" t="str">
        <f>TEXT(Table1[[#This Row],[submission_date]],"mmm")</f>
        <v>Aug</v>
      </c>
      <c r="K98" s="10">
        <f>Table1[[#This Row],[Resolution Time]]*24</f>
        <v>43.742992222309113</v>
      </c>
    </row>
    <row r="99" spans="1:11" x14ac:dyDescent="0.3">
      <c r="A99" t="s">
        <v>222</v>
      </c>
      <c r="B99" s="2">
        <v>45863.88633465278</v>
      </c>
      <c r="C99" s="2">
        <v>45870.561789224535</v>
      </c>
      <c r="D99" t="s">
        <v>21</v>
      </c>
      <c r="E99" t="s">
        <v>32</v>
      </c>
      <c r="F99" t="s">
        <v>223</v>
      </c>
      <c r="G99" t="s">
        <v>29</v>
      </c>
      <c r="H99" s="2">
        <f>Table1[[#This Row],[resolution_date]]-Table1[[#This Row],[submission_date]]</f>
        <v>6.6754545717558358</v>
      </c>
      <c r="I99" s="2" t="str">
        <f>TEXT(Table1[[#This Row],[submission_date]],"ddd")</f>
        <v>Fri</v>
      </c>
      <c r="J99" s="2" t="str">
        <f>TEXT(Table1[[#This Row],[submission_date]],"mmm")</f>
        <v>Jul</v>
      </c>
      <c r="K99" s="10">
        <f>Table1[[#This Row],[Resolution Time]]*24</f>
        <v>160.21090972214006</v>
      </c>
    </row>
    <row r="100" spans="1:11" x14ac:dyDescent="0.3">
      <c r="A100" t="s">
        <v>224</v>
      </c>
      <c r="B100" s="2">
        <v>45914.807502268515</v>
      </c>
      <c r="C100" s="2">
        <v>45914.935071701388</v>
      </c>
      <c r="D100" t="s">
        <v>13</v>
      </c>
      <c r="E100" t="s">
        <v>14</v>
      </c>
      <c r="F100" t="s">
        <v>225</v>
      </c>
      <c r="G100" t="s">
        <v>11</v>
      </c>
      <c r="H100" s="2">
        <f>Table1[[#This Row],[resolution_date]]-Table1[[#This Row],[submission_date]]</f>
        <v>0.12756943287240574</v>
      </c>
      <c r="I100" s="2" t="str">
        <f>TEXT(Table1[[#This Row],[submission_date]],"ddd")</f>
        <v>Sun</v>
      </c>
      <c r="J100" s="2" t="str">
        <f>TEXT(Table1[[#This Row],[submission_date]],"mmm")</f>
        <v>Sep</v>
      </c>
      <c r="K100" s="10">
        <f>Table1[[#This Row],[Resolution Time]]*24</f>
        <v>3.0616663889377378</v>
      </c>
    </row>
    <row r="101" spans="1:11" x14ac:dyDescent="0.3">
      <c r="A101" t="s">
        <v>226</v>
      </c>
      <c r="B101" s="2">
        <v>45869.010687291666</v>
      </c>
      <c r="C101" s="2">
        <v>45869.377826099539</v>
      </c>
      <c r="D101" t="s">
        <v>21</v>
      </c>
      <c r="E101" t="s">
        <v>25</v>
      </c>
      <c r="F101" t="s">
        <v>227</v>
      </c>
      <c r="G101" t="s">
        <v>16</v>
      </c>
      <c r="H101" s="2">
        <f>Table1[[#This Row],[resolution_date]]-Table1[[#This Row],[submission_date]]</f>
        <v>0.36713880787283415</v>
      </c>
      <c r="I101" s="2" t="str">
        <f>TEXT(Table1[[#This Row],[submission_date]],"ddd")</f>
        <v>Thu</v>
      </c>
      <c r="J101" s="2" t="str">
        <f>TEXT(Table1[[#This Row],[submission_date]],"mmm")</f>
        <v>Jul</v>
      </c>
      <c r="K101" s="10">
        <f>Table1[[#This Row],[Resolution Time]]*24</f>
        <v>8.8113313889480196</v>
      </c>
    </row>
    <row r="102" spans="1:11" x14ac:dyDescent="0.3">
      <c r="A102" t="s">
        <v>228</v>
      </c>
      <c r="B102" s="2">
        <v>45886.551199293979</v>
      </c>
      <c r="C102" s="2">
        <v>45886.637387997682</v>
      </c>
      <c r="D102" t="s">
        <v>13</v>
      </c>
      <c r="E102" t="s">
        <v>32</v>
      </c>
      <c r="F102" t="s">
        <v>229</v>
      </c>
      <c r="G102" t="s">
        <v>115</v>
      </c>
      <c r="H102" s="2">
        <f>Table1[[#This Row],[resolution_date]]-Table1[[#This Row],[submission_date]]</f>
        <v>8.6188703702646308E-2</v>
      </c>
      <c r="I102" s="2" t="str">
        <f>TEXT(Table1[[#This Row],[submission_date]],"ddd")</f>
        <v>Sun</v>
      </c>
      <c r="J102" s="2" t="str">
        <f>TEXT(Table1[[#This Row],[submission_date]],"mmm")</f>
        <v>Aug</v>
      </c>
      <c r="K102" s="10">
        <f>Table1[[#This Row],[Resolution Time]]*24</f>
        <v>2.0685288888635114</v>
      </c>
    </row>
    <row r="103" spans="1:11" x14ac:dyDescent="0.3">
      <c r="A103" t="s">
        <v>230</v>
      </c>
      <c r="B103" s="2">
        <v>45911.538317349536</v>
      </c>
      <c r="C103" s="2">
        <v>45913.271872893522</v>
      </c>
      <c r="D103" t="s">
        <v>13</v>
      </c>
      <c r="E103" t="s">
        <v>42</v>
      </c>
      <c r="F103" t="s">
        <v>231</v>
      </c>
      <c r="G103" t="s">
        <v>16</v>
      </c>
      <c r="H103" s="2">
        <f>Table1[[#This Row],[resolution_date]]-Table1[[#This Row],[submission_date]]</f>
        <v>1.7335555439858581</v>
      </c>
      <c r="I103" s="2" t="str">
        <f>TEXT(Table1[[#This Row],[submission_date]],"ddd")</f>
        <v>Thu</v>
      </c>
      <c r="J103" s="2" t="str">
        <f>TEXT(Table1[[#This Row],[submission_date]],"mmm")</f>
        <v>Sep</v>
      </c>
      <c r="K103" s="10">
        <f>Table1[[#This Row],[Resolution Time]]*24</f>
        <v>41.605333055660594</v>
      </c>
    </row>
    <row r="104" spans="1:11" x14ac:dyDescent="0.3">
      <c r="A104" t="s">
        <v>232</v>
      </c>
      <c r="B104" s="2">
        <v>45839.36759386574</v>
      </c>
      <c r="C104" s="2">
        <v>45840.472722094906</v>
      </c>
      <c r="D104" t="s">
        <v>8</v>
      </c>
      <c r="E104" t="s">
        <v>32</v>
      </c>
      <c r="F104" t="s">
        <v>233</v>
      </c>
      <c r="G104" t="s">
        <v>29</v>
      </c>
      <c r="H104" s="2">
        <f>Table1[[#This Row],[resolution_date]]-Table1[[#This Row],[submission_date]]</f>
        <v>1.1051282291664393</v>
      </c>
      <c r="I104" s="2" t="str">
        <f>TEXT(Table1[[#This Row],[submission_date]],"ddd")</f>
        <v>Tue</v>
      </c>
      <c r="J104" s="2" t="str">
        <f>TEXT(Table1[[#This Row],[submission_date]],"mmm")</f>
        <v>Jul</v>
      </c>
      <c r="K104" s="10">
        <f>Table1[[#This Row],[Resolution Time]]*24</f>
        <v>26.523077499994542</v>
      </c>
    </row>
    <row r="105" spans="1:11" x14ac:dyDescent="0.3">
      <c r="A105" t="s">
        <v>234</v>
      </c>
      <c r="B105" s="2">
        <v>45833.941698634262</v>
      </c>
      <c r="C105" s="2">
        <v>45834.416492488424</v>
      </c>
      <c r="D105" t="s">
        <v>13</v>
      </c>
      <c r="E105" t="s">
        <v>55</v>
      </c>
      <c r="F105" t="s">
        <v>235</v>
      </c>
      <c r="G105" t="s">
        <v>16</v>
      </c>
      <c r="H105" s="2">
        <f>Table1[[#This Row],[resolution_date]]-Table1[[#This Row],[submission_date]]</f>
        <v>0.4747938541622716</v>
      </c>
      <c r="I105" s="2" t="str">
        <f>TEXT(Table1[[#This Row],[submission_date]],"ddd")</f>
        <v>Wed</v>
      </c>
      <c r="J105" s="2" t="str">
        <f>TEXT(Table1[[#This Row],[submission_date]],"mmm")</f>
        <v>Jun</v>
      </c>
      <c r="K105" s="10">
        <f>Table1[[#This Row],[Resolution Time]]*24</f>
        <v>11.395052499894518</v>
      </c>
    </row>
    <row r="106" spans="1:11" x14ac:dyDescent="0.3">
      <c r="A106" t="s">
        <v>236</v>
      </c>
      <c r="B106" s="2">
        <v>45906.263209618053</v>
      </c>
      <c r="C106" s="2">
        <v>45906.441982453704</v>
      </c>
      <c r="D106" t="s">
        <v>81</v>
      </c>
      <c r="E106" t="s">
        <v>55</v>
      </c>
      <c r="F106" t="s">
        <v>237</v>
      </c>
      <c r="G106" t="s">
        <v>11</v>
      </c>
      <c r="H106" s="2">
        <f>Table1[[#This Row],[resolution_date]]-Table1[[#This Row],[submission_date]]</f>
        <v>0.17877283565030666</v>
      </c>
      <c r="I106" s="2" t="str">
        <f>TEXT(Table1[[#This Row],[submission_date]],"ddd")</f>
        <v>Sat</v>
      </c>
      <c r="J106" s="2" t="str">
        <f>TEXT(Table1[[#This Row],[submission_date]],"mmm")</f>
        <v>Sep</v>
      </c>
      <c r="K106" s="10">
        <f>Table1[[#This Row],[Resolution Time]]*24</f>
        <v>4.2905480556073599</v>
      </c>
    </row>
    <row r="107" spans="1:11" x14ac:dyDescent="0.3">
      <c r="A107" t="s">
        <v>238</v>
      </c>
      <c r="B107" s="2">
        <v>45872.281321724535</v>
      </c>
      <c r="C107" s="2">
        <v>45874.695412037036</v>
      </c>
      <c r="D107" t="s">
        <v>45</v>
      </c>
      <c r="E107" t="s">
        <v>46</v>
      </c>
      <c r="F107" t="s">
        <v>239</v>
      </c>
      <c r="G107" t="s">
        <v>29</v>
      </c>
      <c r="H107" s="2">
        <f>Table1[[#This Row],[resolution_date]]-Table1[[#This Row],[submission_date]]</f>
        <v>2.4140903125007753</v>
      </c>
      <c r="I107" s="2" t="str">
        <f>TEXT(Table1[[#This Row],[submission_date]],"ddd")</f>
        <v>Sun</v>
      </c>
      <c r="J107" s="2" t="str">
        <f>TEXT(Table1[[#This Row],[submission_date]],"mmm")</f>
        <v>Aug</v>
      </c>
      <c r="K107" s="10">
        <f>Table1[[#This Row],[Resolution Time]]*24</f>
        <v>57.938167500018608</v>
      </c>
    </row>
    <row r="108" spans="1:11" x14ac:dyDescent="0.3">
      <c r="A108" t="s">
        <v>240</v>
      </c>
      <c r="B108" s="2">
        <v>45886.512519641205</v>
      </c>
      <c r="C108" s="2">
        <v>45887.770572569447</v>
      </c>
      <c r="D108" t="s">
        <v>81</v>
      </c>
      <c r="E108" t="s">
        <v>18</v>
      </c>
      <c r="F108" t="s">
        <v>241</v>
      </c>
      <c r="G108" t="s">
        <v>16</v>
      </c>
      <c r="H108" s="2">
        <f>Table1[[#This Row],[resolution_date]]-Table1[[#This Row],[submission_date]]</f>
        <v>1.2580529282422503</v>
      </c>
      <c r="I108" s="2" t="str">
        <f>TEXT(Table1[[#This Row],[submission_date]],"ddd")</f>
        <v>Sun</v>
      </c>
      <c r="J108" s="2" t="str">
        <f>TEXT(Table1[[#This Row],[submission_date]],"mmm")</f>
        <v>Aug</v>
      </c>
      <c r="K108" s="10">
        <f>Table1[[#This Row],[Resolution Time]]*24</f>
        <v>30.193270277814008</v>
      </c>
    </row>
    <row r="109" spans="1:11" x14ac:dyDescent="0.3">
      <c r="A109" t="s">
        <v>242</v>
      </c>
      <c r="B109" s="2">
        <v>45866.620971516204</v>
      </c>
      <c r="C109" s="2">
        <v>45869.341103599538</v>
      </c>
      <c r="D109" t="s">
        <v>21</v>
      </c>
      <c r="E109" t="s">
        <v>14</v>
      </c>
      <c r="F109" t="s">
        <v>243</v>
      </c>
      <c r="G109" t="s">
        <v>29</v>
      </c>
      <c r="H109" s="2">
        <f>Table1[[#This Row],[resolution_date]]-Table1[[#This Row],[submission_date]]</f>
        <v>2.7201320833337377</v>
      </c>
      <c r="I109" s="2" t="str">
        <f>TEXT(Table1[[#This Row],[submission_date]],"ddd")</f>
        <v>Mon</v>
      </c>
      <c r="J109" s="2" t="str">
        <f>TEXT(Table1[[#This Row],[submission_date]],"mmm")</f>
        <v>Jul</v>
      </c>
      <c r="K109" s="10">
        <f>Table1[[#This Row],[Resolution Time]]*24</f>
        <v>65.283170000009704</v>
      </c>
    </row>
    <row r="110" spans="1:11" x14ac:dyDescent="0.3">
      <c r="A110" t="s">
        <v>244</v>
      </c>
      <c r="B110" s="2">
        <v>45850.289993865743</v>
      </c>
      <c r="C110" s="2">
        <v>45850.497444108798</v>
      </c>
      <c r="D110" t="s">
        <v>21</v>
      </c>
      <c r="E110" t="s">
        <v>18</v>
      </c>
      <c r="F110" t="s">
        <v>245</v>
      </c>
      <c r="G110" t="s">
        <v>11</v>
      </c>
      <c r="H110" s="2">
        <f>Table1[[#This Row],[resolution_date]]-Table1[[#This Row],[submission_date]]</f>
        <v>0.20745024305506377</v>
      </c>
      <c r="I110" s="2" t="str">
        <f>TEXT(Table1[[#This Row],[submission_date]],"ddd")</f>
        <v>Sat</v>
      </c>
      <c r="J110" s="2" t="str">
        <f>TEXT(Table1[[#This Row],[submission_date]],"mmm")</f>
        <v>Jul</v>
      </c>
      <c r="K110" s="10">
        <f>Table1[[#This Row],[Resolution Time]]*24</f>
        <v>4.9788058333215304</v>
      </c>
    </row>
    <row r="111" spans="1:11" x14ac:dyDescent="0.3">
      <c r="A111" t="s">
        <v>246</v>
      </c>
      <c r="B111" s="2">
        <v>45851.016814189818</v>
      </c>
      <c r="C111" s="2">
        <v>45857.933740289351</v>
      </c>
      <c r="D111" t="s">
        <v>13</v>
      </c>
      <c r="E111" t="s">
        <v>18</v>
      </c>
      <c r="F111" t="s">
        <v>247</v>
      </c>
      <c r="G111" t="s">
        <v>29</v>
      </c>
      <c r="H111" s="2">
        <f>Table1[[#This Row],[resolution_date]]-Table1[[#This Row],[submission_date]]</f>
        <v>6.916926099533157</v>
      </c>
      <c r="I111" s="2" t="str">
        <f>TEXT(Table1[[#This Row],[submission_date]],"ddd")</f>
        <v>Sun</v>
      </c>
      <c r="J111" s="2" t="str">
        <f>TEXT(Table1[[#This Row],[submission_date]],"mmm")</f>
        <v>Jul</v>
      </c>
      <c r="K111" s="10">
        <f>Table1[[#This Row],[Resolution Time]]*24</f>
        <v>166.00622638879577</v>
      </c>
    </row>
    <row r="112" spans="1:11" x14ac:dyDescent="0.3">
      <c r="A112" t="s">
        <v>248</v>
      </c>
      <c r="B112" s="2">
        <v>45852.247494618059</v>
      </c>
      <c r="C112" s="2">
        <v>45852.52489966435</v>
      </c>
      <c r="D112" t="s">
        <v>31</v>
      </c>
      <c r="E112" t="s">
        <v>42</v>
      </c>
      <c r="F112" t="s">
        <v>249</v>
      </c>
      <c r="G112" t="s">
        <v>11</v>
      </c>
      <c r="H112" s="2">
        <f>Table1[[#This Row],[resolution_date]]-Table1[[#This Row],[submission_date]]</f>
        <v>0.27740504629036877</v>
      </c>
      <c r="I112" s="2" t="str">
        <f>TEXT(Table1[[#This Row],[submission_date]],"ddd")</f>
        <v>Mon</v>
      </c>
      <c r="J112" s="2" t="str">
        <f>TEXT(Table1[[#This Row],[submission_date]],"mmm")</f>
        <v>Jul</v>
      </c>
      <c r="K112" s="10">
        <f>Table1[[#This Row],[Resolution Time]]*24</f>
        <v>6.6577211109688506</v>
      </c>
    </row>
    <row r="113" spans="1:11" x14ac:dyDescent="0.3">
      <c r="A113" t="s">
        <v>250</v>
      </c>
      <c r="B113" s="2">
        <v>45897.479103912039</v>
      </c>
      <c r="C113" s="2">
        <v>45904.444584293982</v>
      </c>
      <c r="D113" t="s">
        <v>13</v>
      </c>
      <c r="E113" t="s">
        <v>18</v>
      </c>
      <c r="F113" t="s">
        <v>251</v>
      </c>
      <c r="G113" t="s">
        <v>29</v>
      </c>
      <c r="H113" s="2">
        <f>Table1[[#This Row],[resolution_date]]-Table1[[#This Row],[submission_date]]</f>
        <v>6.9654803819430526</v>
      </c>
      <c r="I113" s="2" t="str">
        <f>TEXT(Table1[[#This Row],[submission_date]],"ddd")</f>
        <v>Thu</v>
      </c>
      <c r="J113" s="2" t="str">
        <f>TEXT(Table1[[#This Row],[submission_date]],"mmm")</f>
        <v>Aug</v>
      </c>
      <c r="K113" s="10">
        <f>Table1[[#This Row],[Resolution Time]]*24</f>
        <v>167.17152916663326</v>
      </c>
    </row>
    <row r="114" spans="1:11" x14ac:dyDescent="0.3">
      <c r="A114" t="s">
        <v>252</v>
      </c>
      <c r="B114" s="2">
        <v>45897.33485097222</v>
      </c>
      <c r="C114" s="2">
        <v>45902.195088425928</v>
      </c>
      <c r="D114" t="s">
        <v>60</v>
      </c>
      <c r="E114" t="s">
        <v>14</v>
      </c>
      <c r="F114" t="s">
        <v>253</v>
      </c>
      <c r="G114" t="s">
        <v>29</v>
      </c>
      <c r="H114" s="2">
        <f>Table1[[#This Row],[resolution_date]]-Table1[[#This Row],[submission_date]]</f>
        <v>4.8602374537076685</v>
      </c>
      <c r="I114" s="2" t="str">
        <f>TEXT(Table1[[#This Row],[submission_date]],"ddd")</f>
        <v>Thu</v>
      </c>
      <c r="J114" s="2" t="str">
        <f>TEXT(Table1[[#This Row],[submission_date]],"mmm")</f>
        <v>Aug</v>
      </c>
      <c r="K114" s="10">
        <f>Table1[[#This Row],[Resolution Time]]*24</f>
        <v>116.64569888898404</v>
      </c>
    </row>
    <row r="115" spans="1:11" x14ac:dyDescent="0.3">
      <c r="A115" t="s">
        <v>254</v>
      </c>
      <c r="B115" s="2">
        <v>45889.472084976849</v>
      </c>
      <c r="C115" s="2">
        <v>45889.563600474539</v>
      </c>
      <c r="D115" t="s">
        <v>21</v>
      </c>
      <c r="E115" t="s">
        <v>22</v>
      </c>
      <c r="F115" t="s">
        <v>255</v>
      </c>
      <c r="G115" t="s">
        <v>11</v>
      </c>
      <c r="H115" s="2">
        <f>Table1[[#This Row],[resolution_date]]-Table1[[#This Row],[submission_date]]</f>
        <v>9.1515497690124903E-2</v>
      </c>
      <c r="I115" s="2" t="str">
        <f>TEXT(Table1[[#This Row],[submission_date]],"ddd")</f>
        <v>Wed</v>
      </c>
      <c r="J115" s="2" t="str">
        <f>TEXT(Table1[[#This Row],[submission_date]],"mmm")</f>
        <v>Aug</v>
      </c>
      <c r="K115" s="10">
        <f>Table1[[#This Row],[Resolution Time]]*24</f>
        <v>2.1963719445629977</v>
      </c>
    </row>
    <row r="116" spans="1:11" x14ac:dyDescent="0.3">
      <c r="A116" t="s">
        <v>256</v>
      </c>
      <c r="B116" s="2">
        <v>45834.277258101851</v>
      </c>
      <c r="C116" s="2">
        <v>45834.880186099537</v>
      </c>
      <c r="D116" t="s">
        <v>8</v>
      </c>
      <c r="E116" t="s">
        <v>25</v>
      </c>
      <c r="F116" t="s">
        <v>257</v>
      </c>
      <c r="G116" t="s">
        <v>16</v>
      </c>
      <c r="H116" s="2">
        <f>Table1[[#This Row],[resolution_date]]-Table1[[#This Row],[submission_date]]</f>
        <v>0.60292799768649274</v>
      </c>
      <c r="I116" s="2" t="str">
        <f>TEXT(Table1[[#This Row],[submission_date]],"ddd")</f>
        <v>Thu</v>
      </c>
      <c r="J116" s="2" t="str">
        <f>TEXT(Table1[[#This Row],[submission_date]],"mmm")</f>
        <v>Jun</v>
      </c>
      <c r="K116" s="10">
        <f>Table1[[#This Row],[Resolution Time]]*24</f>
        <v>14.470271944475826</v>
      </c>
    </row>
    <row r="117" spans="1:11" x14ac:dyDescent="0.3">
      <c r="A117" t="s">
        <v>258</v>
      </c>
      <c r="B117" s="2">
        <v>45904.00158491898</v>
      </c>
      <c r="C117" s="2">
        <v>45908.743611006947</v>
      </c>
      <c r="D117" t="s">
        <v>31</v>
      </c>
      <c r="E117" t="s">
        <v>55</v>
      </c>
      <c r="F117" t="s">
        <v>259</v>
      </c>
      <c r="G117" t="s">
        <v>29</v>
      </c>
      <c r="H117" s="2">
        <f>Table1[[#This Row],[resolution_date]]-Table1[[#This Row],[submission_date]]</f>
        <v>4.7420260879662237</v>
      </c>
      <c r="I117" s="2" t="str">
        <f>TEXT(Table1[[#This Row],[submission_date]],"ddd")</f>
        <v>Thu</v>
      </c>
      <c r="J117" s="2" t="str">
        <f>TEXT(Table1[[#This Row],[submission_date]],"mmm")</f>
        <v>Sep</v>
      </c>
      <c r="K117" s="10">
        <f>Table1[[#This Row],[Resolution Time]]*24</f>
        <v>113.80862611118937</v>
      </c>
    </row>
    <row r="118" spans="1:11" x14ac:dyDescent="0.3">
      <c r="A118" t="s">
        <v>260</v>
      </c>
      <c r="B118" s="2">
        <v>45852.145348541664</v>
      </c>
      <c r="C118" s="2">
        <v>45853.493291354163</v>
      </c>
      <c r="D118" t="s">
        <v>13</v>
      </c>
      <c r="E118" t="s">
        <v>18</v>
      </c>
      <c r="F118" t="s">
        <v>261</v>
      </c>
      <c r="G118" t="s">
        <v>16</v>
      </c>
      <c r="H118" s="2">
        <f>Table1[[#This Row],[resolution_date]]-Table1[[#This Row],[submission_date]]</f>
        <v>1.347942812499241</v>
      </c>
      <c r="I118" s="2" t="str">
        <f>TEXT(Table1[[#This Row],[submission_date]],"ddd")</f>
        <v>Mon</v>
      </c>
      <c r="J118" s="2" t="str">
        <f>TEXT(Table1[[#This Row],[submission_date]],"mmm")</f>
        <v>Jul</v>
      </c>
      <c r="K118" s="10">
        <f>Table1[[#This Row],[Resolution Time]]*24</f>
        <v>32.350627499981783</v>
      </c>
    </row>
    <row r="119" spans="1:11" x14ac:dyDescent="0.3">
      <c r="A119" t="s">
        <v>262</v>
      </c>
      <c r="B119" s="2">
        <v>45862.277817847222</v>
      </c>
      <c r="C119" s="2">
        <v>45864.09636747685</v>
      </c>
      <c r="D119" t="s">
        <v>31</v>
      </c>
      <c r="E119" t="s">
        <v>46</v>
      </c>
      <c r="F119" t="s">
        <v>263</v>
      </c>
      <c r="G119" t="s">
        <v>16</v>
      </c>
      <c r="H119" s="2">
        <f>Table1[[#This Row],[resolution_date]]-Table1[[#This Row],[submission_date]]</f>
        <v>1.8185496296282508</v>
      </c>
      <c r="I119" s="2" t="str">
        <f>TEXT(Table1[[#This Row],[submission_date]],"ddd")</f>
        <v>Thu</v>
      </c>
      <c r="J119" s="2" t="str">
        <f>TEXT(Table1[[#This Row],[submission_date]],"mmm")</f>
        <v>Jul</v>
      </c>
      <c r="K119" s="10">
        <f>Table1[[#This Row],[Resolution Time]]*24</f>
        <v>43.64519111107802</v>
      </c>
    </row>
    <row r="120" spans="1:11" x14ac:dyDescent="0.3">
      <c r="A120" t="s">
        <v>264</v>
      </c>
      <c r="B120" s="2">
        <v>45872.946095937499</v>
      </c>
      <c r="C120" s="2">
        <v>45879.541631354165</v>
      </c>
      <c r="D120" t="s">
        <v>81</v>
      </c>
      <c r="E120" t="s">
        <v>32</v>
      </c>
      <c r="F120" t="s">
        <v>265</v>
      </c>
      <c r="G120" t="s">
        <v>29</v>
      </c>
      <c r="H120" s="2">
        <f>Table1[[#This Row],[resolution_date]]-Table1[[#This Row],[submission_date]]</f>
        <v>6.5955354166653706</v>
      </c>
      <c r="I120" s="2" t="str">
        <f>TEXT(Table1[[#This Row],[submission_date]],"ddd")</f>
        <v>Sun</v>
      </c>
      <c r="J120" s="2" t="str">
        <f>TEXT(Table1[[#This Row],[submission_date]],"mmm")</f>
        <v>Aug</v>
      </c>
      <c r="K120" s="10">
        <f>Table1[[#This Row],[Resolution Time]]*24</f>
        <v>158.29284999996889</v>
      </c>
    </row>
    <row r="121" spans="1:11" x14ac:dyDescent="0.3">
      <c r="A121" t="s">
        <v>266</v>
      </c>
      <c r="B121" s="2">
        <v>45850.010814976849</v>
      </c>
      <c r="C121" s="2">
        <v>45850.795333125003</v>
      </c>
      <c r="D121" t="s">
        <v>21</v>
      </c>
      <c r="E121" t="s">
        <v>14</v>
      </c>
      <c r="F121" t="s">
        <v>267</v>
      </c>
      <c r="G121" t="s">
        <v>16</v>
      </c>
      <c r="H121" s="2">
        <f>Table1[[#This Row],[resolution_date]]-Table1[[#This Row],[submission_date]]</f>
        <v>0.78451814815343823</v>
      </c>
      <c r="I121" s="2" t="str">
        <f>TEXT(Table1[[#This Row],[submission_date]],"ddd")</f>
        <v>Sat</v>
      </c>
      <c r="J121" s="2" t="str">
        <f>TEXT(Table1[[#This Row],[submission_date]],"mmm")</f>
        <v>Jul</v>
      </c>
      <c r="K121" s="10">
        <f>Table1[[#This Row],[Resolution Time]]*24</f>
        <v>18.828435555682518</v>
      </c>
    </row>
    <row r="122" spans="1:11" x14ac:dyDescent="0.3">
      <c r="A122" t="s">
        <v>268</v>
      </c>
      <c r="B122" s="2">
        <v>45857.543304513893</v>
      </c>
      <c r="C122" s="2">
        <v>45858.309298784719</v>
      </c>
      <c r="D122" t="s">
        <v>8</v>
      </c>
      <c r="E122" t="s">
        <v>25</v>
      </c>
      <c r="F122" t="s">
        <v>269</v>
      </c>
      <c r="G122" t="s">
        <v>16</v>
      </c>
      <c r="H122" s="2">
        <f>Table1[[#This Row],[resolution_date]]-Table1[[#This Row],[submission_date]]</f>
        <v>0.76599427082692273</v>
      </c>
      <c r="I122" s="2" t="str">
        <f>TEXT(Table1[[#This Row],[submission_date]],"ddd")</f>
        <v>Sat</v>
      </c>
      <c r="J122" s="2" t="str">
        <f>TEXT(Table1[[#This Row],[submission_date]],"mmm")</f>
        <v>Jul</v>
      </c>
      <c r="K122" s="10">
        <f>Table1[[#This Row],[Resolution Time]]*24</f>
        <v>18.383862499846146</v>
      </c>
    </row>
    <row r="123" spans="1:11" x14ac:dyDescent="0.3">
      <c r="A123" t="s">
        <v>270</v>
      </c>
      <c r="B123" s="2">
        <v>45837.839233402781</v>
      </c>
      <c r="C123" s="2">
        <v>45838.438694236109</v>
      </c>
      <c r="D123" t="s">
        <v>31</v>
      </c>
      <c r="E123" t="s">
        <v>42</v>
      </c>
      <c r="F123" t="s">
        <v>271</v>
      </c>
      <c r="G123" t="s">
        <v>16</v>
      </c>
      <c r="H123" s="2">
        <f>Table1[[#This Row],[resolution_date]]-Table1[[#This Row],[submission_date]]</f>
        <v>0.59946083332761191</v>
      </c>
      <c r="I123" s="2" t="str">
        <f>TEXT(Table1[[#This Row],[submission_date]],"ddd")</f>
        <v>Sun</v>
      </c>
      <c r="J123" s="2" t="str">
        <f>TEXT(Table1[[#This Row],[submission_date]],"mmm")</f>
        <v>Jun</v>
      </c>
      <c r="K123" s="10">
        <f>Table1[[#This Row],[Resolution Time]]*24</f>
        <v>14.387059999862686</v>
      </c>
    </row>
    <row r="124" spans="1:11" x14ac:dyDescent="0.3">
      <c r="A124" t="s">
        <v>272</v>
      </c>
      <c r="B124" s="2">
        <v>45867.618249085652</v>
      </c>
      <c r="C124" s="2">
        <v>45868.392216446759</v>
      </c>
      <c r="D124" t="s">
        <v>13</v>
      </c>
      <c r="E124" t="s">
        <v>9</v>
      </c>
      <c r="F124" t="s">
        <v>273</v>
      </c>
      <c r="G124" t="s">
        <v>16</v>
      </c>
      <c r="H124" s="2">
        <f>Table1[[#This Row],[resolution_date]]-Table1[[#This Row],[submission_date]]</f>
        <v>0.77396736110677011</v>
      </c>
      <c r="I124" s="2" t="str">
        <f>TEXT(Table1[[#This Row],[submission_date]],"ddd")</f>
        <v>Tue</v>
      </c>
      <c r="J124" s="2" t="str">
        <f>TEXT(Table1[[#This Row],[submission_date]],"mmm")</f>
        <v>Jul</v>
      </c>
      <c r="K124" s="10">
        <f>Table1[[#This Row],[Resolution Time]]*24</f>
        <v>18.575216666562483</v>
      </c>
    </row>
    <row r="125" spans="1:11" x14ac:dyDescent="0.3">
      <c r="A125" t="s">
        <v>274</v>
      </c>
      <c r="B125" s="2">
        <v>45888.049664409722</v>
      </c>
      <c r="C125" s="2">
        <v>45889.796211516201</v>
      </c>
      <c r="D125" t="s">
        <v>45</v>
      </c>
      <c r="E125" t="s">
        <v>14</v>
      </c>
      <c r="F125" t="s">
        <v>275</v>
      </c>
      <c r="G125" t="s">
        <v>16</v>
      </c>
      <c r="H125" s="2">
        <f>Table1[[#This Row],[resolution_date]]-Table1[[#This Row],[submission_date]]</f>
        <v>1.7465471064788289</v>
      </c>
      <c r="I125" s="2" t="str">
        <f>TEXT(Table1[[#This Row],[submission_date]],"ddd")</f>
        <v>Tue</v>
      </c>
      <c r="J125" s="2" t="str">
        <f>TEXT(Table1[[#This Row],[submission_date]],"mmm")</f>
        <v>Aug</v>
      </c>
      <c r="K125" s="10">
        <f>Table1[[#This Row],[Resolution Time]]*24</f>
        <v>41.917130555491894</v>
      </c>
    </row>
    <row r="126" spans="1:11" x14ac:dyDescent="0.3">
      <c r="A126" t="s">
        <v>276</v>
      </c>
      <c r="B126" s="2">
        <v>45833.252764166667</v>
      </c>
      <c r="C126" s="2">
        <v>45833.782323101848</v>
      </c>
      <c r="D126" t="s">
        <v>81</v>
      </c>
      <c r="E126" t="s">
        <v>55</v>
      </c>
      <c r="F126" t="s">
        <v>277</v>
      </c>
      <c r="G126" t="s">
        <v>16</v>
      </c>
      <c r="H126" s="2">
        <f>Table1[[#This Row],[resolution_date]]-Table1[[#This Row],[submission_date]]</f>
        <v>0.5295589351808303</v>
      </c>
      <c r="I126" s="2" t="str">
        <f>TEXT(Table1[[#This Row],[submission_date]],"ddd")</f>
        <v>Wed</v>
      </c>
      <c r="J126" s="2" t="str">
        <f>TEXT(Table1[[#This Row],[submission_date]],"mmm")</f>
        <v>Jun</v>
      </c>
      <c r="K126" s="10">
        <f>Table1[[#This Row],[Resolution Time]]*24</f>
        <v>12.709414444339927</v>
      </c>
    </row>
    <row r="127" spans="1:11" x14ac:dyDescent="0.3">
      <c r="A127" t="s">
        <v>278</v>
      </c>
      <c r="B127" s="2">
        <v>45871.769415833332</v>
      </c>
      <c r="C127" s="2">
        <v>45872.507896226853</v>
      </c>
      <c r="D127" t="s">
        <v>81</v>
      </c>
      <c r="E127" t="s">
        <v>22</v>
      </c>
      <c r="F127" t="s">
        <v>279</v>
      </c>
      <c r="G127" t="s">
        <v>16</v>
      </c>
      <c r="H127" s="2">
        <f>Table1[[#This Row],[resolution_date]]-Table1[[#This Row],[submission_date]]</f>
        <v>0.73848039352014894</v>
      </c>
      <c r="I127" s="2" t="str">
        <f>TEXT(Table1[[#This Row],[submission_date]],"ddd")</f>
        <v>Sat</v>
      </c>
      <c r="J127" s="2" t="str">
        <f>TEXT(Table1[[#This Row],[submission_date]],"mmm")</f>
        <v>Aug</v>
      </c>
      <c r="K127" s="10">
        <f>Table1[[#This Row],[Resolution Time]]*24</f>
        <v>17.723529444483574</v>
      </c>
    </row>
    <row r="128" spans="1:11" x14ac:dyDescent="0.3">
      <c r="A128" t="s">
        <v>280</v>
      </c>
      <c r="B128" s="2">
        <v>45895.01577233796</v>
      </c>
      <c r="C128" s="2">
        <v>45898.961600011571</v>
      </c>
      <c r="D128" t="s">
        <v>21</v>
      </c>
      <c r="E128" t="s">
        <v>32</v>
      </c>
      <c r="F128" t="s">
        <v>281</v>
      </c>
      <c r="G128" t="s">
        <v>29</v>
      </c>
      <c r="H128" s="2">
        <f>Table1[[#This Row],[resolution_date]]-Table1[[#This Row],[submission_date]]</f>
        <v>3.9458276736113476</v>
      </c>
      <c r="I128" s="2" t="str">
        <f>TEXT(Table1[[#This Row],[submission_date]],"ddd")</f>
        <v>Tue</v>
      </c>
      <c r="J128" s="2" t="str">
        <f>TEXT(Table1[[#This Row],[submission_date]],"mmm")</f>
        <v>Aug</v>
      </c>
      <c r="K128" s="10">
        <f>Table1[[#This Row],[Resolution Time]]*24</f>
        <v>94.699864166672342</v>
      </c>
    </row>
    <row r="129" spans="1:11" x14ac:dyDescent="0.3">
      <c r="A129" t="s">
        <v>282</v>
      </c>
      <c r="B129" s="2">
        <v>45855.641187476853</v>
      </c>
      <c r="C129" s="2">
        <v>45860.058005162035</v>
      </c>
      <c r="D129" t="s">
        <v>13</v>
      </c>
      <c r="E129" t="s">
        <v>55</v>
      </c>
      <c r="F129" t="s">
        <v>283</v>
      </c>
      <c r="G129" t="s">
        <v>29</v>
      </c>
      <c r="H129" s="2">
        <f>Table1[[#This Row],[resolution_date]]-Table1[[#This Row],[submission_date]]</f>
        <v>4.4168176851817407</v>
      </c>
      <c r="I129" s="2" t="str">
        <f>TEXT(Table1[[#This Row],[submission_date]],"ddd")</f>
        <v>Thu</v>
      </c>
      <c r="J129" s="2" t="str">
        <f>TEXT(Table1[[#This Row],[submission_date]],"mmm")</f>
        <v>Jul</v>
      </c>
      <c r="K129" s="10">
        <f>Table1[[#This Row],[Resolution Time]]*24</f>
        <v>106.00362444436178</v>
      </c>
    </row>
    <row r="130" spans="1:11" x14ac:dyDescent="0.3">
      <c r="A130" t="s">
        <v>284</v>
      </c>
      <c r="B130" s="2">
        <v>45909.709815717593</v>
      </c>
      <c r="C130" s="2">
        <v>45910.054590312502</v>
      </c>
      <c r="D130" t="s">
        <v>45</v>
      </c>
      <c r="E130" t="s">
        <v>18</v>
      </c>
      <c r="F130" t="s">
        <v>285</v>
      </c>
      <c r="G130" t="s">
        <v>11</v>
      </c>
      <c r="H130" s="2">
        <f>Table1[[#This Row],[resolution_date]]-Table1[[#This Row],[submission_date]]</f>
        <v>0.34477459490881301</v>
      </c>
      <c r="I130" s="2" t="str">
        <f>TEXT(Table1[[#This Row],[submission_date]],"ddd")</f>
        <v>Tue</v>
      </c>
      <c r="J130" s="2" t="str">
        <f>TEXT(Table1[[#This Row],[submission_date]],"mmm")</f>
        <v>Sep</v>
      </c>
      <c r="K130" s="10">
        <f>Table1[[#This Row],[Resolution Time]]*24</f>
        <v>8.2745902778115124</v>
      </c>
    </row>
    <row r="131" spans="1:11" x14ac:dyDescent="0.3">
      <c r="A131" t="s">
        <v>286</v>
      </c>
      <c r="B131" s="2">
        <v>45906.729388576387</v>
      </c>
      <c r="C131" s="2">
        <v>45908.672971944441</v>
      </c>
      <c r="D131" t="s">
        <v>8</v>
      </c>
      <c r="E131" t="s">
        <v>14</v>
      </c>
      <c r="F131" t="s">
        <v>287</v>
      </c>
      <c r="G131" t="s">
        <v>16</v>
      </c>
      <c r="H131" s="2">
        <f>Table1[[#This Row],[resolution_date]]-Table1[[#This Row],[submission_date]]</f>
        <v>1.9435833680545329</v>
      </c>
      <c r="I131" s="2" t="str">
        <f>TEXT(Table1[[#This Row],[submission_date]],"ddd")</f>
        <v>Sat</v>
      </c>
      <c r="J131" s="2" t="str">
        <f>TEXT(Table1[[#This Row],[submission_date]],"mmm")</f>
        <v>Sep</v>
      </c>
      <c r="K131" s="10">
        <f>Table1[[#This Row],[Resolution Time]]*24</f>
        <v>46.64600083330879</v>
      </c>
    </row>
    <row r="132" spans="1:11" x14ac:dyDescent="0.3">
      <c r="A132" t="s">
        <v>288</v>
      </c>
      <c r="B132" s="2">
        <v>45910.871020706021</v>
      </c>
      <c r="C132" s="2">
        <v>45912.692476354168</v>
      </c>
      <c r="D132" t="s">
        <v>81</v>
      </c>
      <c r="E132" t="s">
        <v>35</v>
      </c>
      <c r="F132" t="s">
        <v>289</v>
      </c>
      <c r="G132" t="s">
        <v>29</v>
      </c>
      <c r="H132" s="2">
        <f>Table1[[#This Row],[resolution_date]]-Table1[[#This Row],[submission_date]]</f>
        <v>1.8214556481470936</v>
      </c>
      <c r="I132" s="2" t="str">
        <f>TEXT(Table1[[#This Row],[submission_date]],"ddd")</f>
        <v>Wed</v>
      </c>
      <c r="J132" s="2" t="str">
        <f>TEXT(Table1[[#This Row],[submission_date]],"mmm")</f>
        <v>Sep</v>
      </c>
      <c r="K132" s="10">
        <f>Table1[[#This Row],[Resolution Time]]*24</f>
        <v>43.714935555530246</v>
      </c>
    </row>
    <row r="133" spans="1:11" x14ac:dyDescent="0.3">
      <c r="A133" t="s">
        <v>290</v>
      </c>
      <c r="B133" s="2">
        <v>45879.520755300924</v>
      </c>
      <c r="C133" s="2">
        <v>45883.389230601853</v>
      </c>
      <c r="D133" t="s">
        <v>81</v>
      </c>
      <c r="E133" t="s">
        <v>18</v>
      </c>
      <c r="F133" t="s">
        <v>291</v>
      </c>
      <c r="G133" t="s">
        <v>29</v>
      </c>
      <c r="H133" s="2">
        <f>Table1[[#This Row],[resolution_date]]-Table1[[#This Row],[submission_date]]</f>
        <v>3.8684753009292763</v>
      </c>
      <c r="I133" s="2" t="str">
        <f>TEXT(Table1[[#This Row],[submission_date]],"ddd")</f>
        <v>Sun</v>
      </c>
      <c r="J133" s="2" t="str">
        <f>TEXT(Table1[[#This Row],[submission_date]],"mmm")</f>
        <v>Aug</v>
      </c>
      <c r="K133" s="10">
        <f>Table1[[#This Row],[Resolution Time]]*24</f>
        <v>92.843407222302631</v>
      </c>
    </row>
    <row r="134" spans="1:11" x14ac:dyDescent="0.3">
      <c r="A134" t="s">
        <v>292</v>
      </c>
      <c r="B134" s="2">
        <v>45907.109921354167</v>
      </c>
      <c r="C134" s="2">
        <v>45910.587372002316</v>
      </c>
      <c r="D134" t="s">
        <v>8</v>
      </c>
      <c r="E134" t="s">
        <v>42</v>
      </c>
      <c r="F134" t="s">
        <v>293</v>
      </c>
      <c r="G134" t="s">
        <v>29</v>
      </c>
      <c r="H134" s="2">
        <f>Table1[[#This Row],[resolution_date]]-Table1[[#This Row],[submission_date]]</f>
        <v>3.4774506481480785</v>
      </c>
      <c r="I134" s="2" t="str">
        <f>TEXT(Table1[[#This Row],[submission_date]],"ddd")</f>
        <v>Sun</v>
      </c>
      <c r="J134" s="2" t="str">
        <f>TEXT(Table1[[#This Row],[submission_date]],"mmm")</f>
        <v>Sep</v>
      </c>
      <c r="K134" s="10">
        <f>Table1[[#This Row],[Resolution Time]]*24</f>
        <v>83.458815555553883</v>
      </c>
    </row>
    <row r="135" spans="1:11" x14ac:dyDescent="0.3">
      <c r="A135" t="s">
        <v>294</v>
      </c>
      <c r="B135" s="2">
        <v>45859.296687372684</v>
      </c>
      <c r="C135" s="2">
        <v>45859.711959270833</v>
      </c>
      <c r="D135" t="s">
        <v>31</v>
      </c>
      <c r="E135" t="s">
        <v>22</v>
      </c>
      <c r="F135" t="s">
        <v>295</v>
      </c>
      <c r="G135" t="s">
        <v>11</v>
      </c>
      <c r="H135" s="2">
        <f>Table1[[#This Row],[resolution_date]]-Table1[[#This Row],[submission_date]]</f>
        <v>0.41527189814951271</v>
      </c>
      <c r="I135" s="2" t="str">
        <f>TEXT(Table1[[#This Row],[submission_date]],"ddd")</f>
        <v>Mon</v>
      </c>
      <c r="J135" s="2" t="str">
        <f>TEXT(Table1[[#This Row],[submission_date]],"mmm")</f>
        <v>Jul</v>
      </c>
      <c r="K135" s="10">
        <f>Table1[[#This Row],[Resolution Time]]*24</f>
        <v>9.966525555588305</v>
      </c>
    </row>
    <row r="136" spans="1:11" x14ac:dyDescent="0.3">
      <c r="A136" t="s">
        <v>296</v>
      </c>
      <c r="B136" s="2">
        <v>45884.043633368055</v>
      </c>
      <c r="C136" s="2">
        <v>45891.026826423615</v>
      </c>
      <c r="D136" t="s">
        <v>8</v>
      </c>
      <c r="E136" t="s">
        <v>32</v>
      </c>
      <c r="F136" t="s">
        <v>297</v>
      </c>
      <c r="G136" t="s">
        <v>29</v>
      </c>
      <c r="H136" s="2">
        <f>Table1[[#This Row],[resolution_date]]-Table1[[#This Row],[submission_date]]</f>
        <v>6.9831930555592407</v>
      </c>
      <c r="I136" s="2" t="str">
        <f>TEXT(Table1[[#This Row],[submission_date]],"ddd")</f>
        <v>Fri</v>
      </c>
      <c r="J136" s="2" t="str">
        <f>TEXT(Table1[[#This Row],[submission_date]],"mmm")</f>
        <v>Aug</v>
      </c>
      <c r="K136" s="10">
        <f>Table1[[#This Row],[Resolution Time]]*24</f>
        <v>167.59663333342178</v>
      </c>
    </row>
    <row r="137" spans="1:11" x14ac:dyDescent="0.3">
      <c r="A137" t="s">
        <v>298</v>
      </c>
      <c r="B137" s="2">
        <v>45832.24807454861</v>
      </c>
      <c r="C137" s="2">
        <v>45837.032086712963</v>
      </c>
      <c r="D137" t="s">
        <v>60</v>
      </c>
      <c r="E137" t="s">
        <v>35</v>
      </c>
      <c r="F137" t="s">
        <v>299</v>
      </c>
      <c r="G137" t="s">
        <v>29</v>
      </c>
      <c r="H137" s="2">
        <f>Table1[[#This Row],[resolution_date]]-Table1[[#This Row],[submission_date]]</f>
        <v>4.7840121643530438</v>
      </c>
      <c r="I137" s="2" t="str">
        <f>TEXT(Table1[[#This Row],[submission_date]],"ddd")</f>
        <v>Tue</v>
      </c>
      <c r="J137" s="2" t="str">
        <f>TEXT(Table1[[#This Row],[submission_date]],"mmm")</f>
        <v>Jun</v>
      </c>
      <c r="K137" s="10">
        <f>Table1[[#This Row],[Resolution Time]]*24</f>
        <v>114.81629194447305</v>
      </c>
    </row>
    <row r="138" spans="1:11" x14ac:dyDescent="0.3">
      <c r="A138" t="s">
        <v>300</v>
      </c>
      <c r="B138" s="2">
        <v>45914.743208043983</v>
      </c>
      <c r="C138" s="2">
        <v>45917.991188726854</v>
      </c>
      <c r="D138" t="s">
        <v>21</v>
      </c>
      <c r="E138" t="s">
        <v>35</v>
      </c>
      <c r="F138" t="s">
        <v>301</v>
      </c>
      <c r="G138" t="s">
        <v>29</v>
      </c>
      <c r="H138" s="2">
        <f>Table1[[#This Row],[resolution_date]]-Table1[[#This Row],[submission_date]]</f>
        <v>3.2479806828705478</v>
      </c>
      <c r="I138" s="2" t="str">
        <f>TEXT(Table1[[#This Row],[submission_date]],"ddd")</f>
        <v>Sun</v>
      </c>
      <c r="J138" s="2" t="str">
        <f>TEXT(Table1[[#This Row],[submission_date]],"mmm")</f>
        <v>Sep</v>
      </c>
      <c r="K138" s="10">
        <f>Table1[[#This Row],[Resolution Time]]*24</f>
        <v>77.951536388893146</v>
      </c>
    </row>
    <row r="139" spans="1:11" x14ac:dyDescent="0.3">
      <c r="A139" t="s">
        <v>302</v>
      </c>
      <c r="B139" s="2">
        <v>45837.385131631941</v>
      </c>
      <c r="C139" s="2">
        <v>45838.970033020836</v>
      </c>
      <c r="D139" t="s">
        <v>21</v>
      </c>
      <c r="E139" t="s">
        <v>14</v>
      </c>
      <c r="F139" t="s">
        <v>303</v>
      </c>
      <c r="G139" t="s">
        <v>29</v>
      </c>
      <c r="H139" s="2">
        <f>Table1[[#This Row],[resolution_date]]-Table1[[#This Row],[submission_date]]</f>
        <v>1.5849013888946502</v>
      </c>
      <c r="I139" s="2" t="str">
        <f>TEXT(Table1[[#This Row],[submission_date]],"ddd")</f>
        <v>Sun</v>
      </c>
      <c r="J139" s="2" t="str">
        <f>TEXT(Table1[[#This Row],[submission_date]],"mmm")</f>
        <v>Jun</v>
      </c>
      <c r="K139" s="10">
        <f>Table1[[#This Row],[Resolution Time]]*24</f>
        <v>38.037633333471604</v>
      </c>
    </row>
    <row r="140" spans="1:11" x14ac:dyDescent="0.3">
      <c r="A140" t="s">
        <v>304</v>
      </c>
      <c r="B140" s="2">
        <v>45888.557472025466</v>
      </c>
      <c r="C140" s="2">
        <v>45889.528593067131</v>
      </c>
      <c r="D140" t="s">
        <v>13</v>
      </c>
      <c r="E140" t="s">
        <v>9</v>
      </c>
      <c r="F140" t="s">
        <v>305</v>
      </c>
      <c r="G140" t="s">
        <v>16</v>
      </c>
      <c r="H140" s="2">
        <f>Table1[[#This Row],[resolution_date]]-Table1[[#This Row],[submission_date]]</f>
        <v>0.97112104166444624</v>
      </c>
      <c r="I140" s="2" t="str">
        <f>TEXT(Table1[[#This Row],[submission_date]],"ddd")</f>
        <v>Tue</v>
      </c>
      <c r="J140" s="2" t="str">
        <f>TEXT(Table1[[#This Row],[submission_date]],"mmm")</f>
        <v>Aug</v>
      </c>
      <c r="K140" s="10">
        <f>Table1[[#This Row],[Resolution Time]]*24</f>
        <v>23.30690499994671</v>
      </c>
    </row>
    <row r="141" spans="1:11" x14ac:dyDescent="0.3">
      <c r="A141" t="s">
        <v>306</v>
      </c>
      <c r="B141" s="2">
        <v>45890.610338888888</v>
      </c>
      <c r="C141" s="2">
        <v>45896.433827546294</v>
      </c>
      <c r="D141" t="s">
        <v>45</v>
      </c>
      <c r="E141" t="s">
        <v>35</v>
      </c>
      <c r="F141" t="s">
        <v>307</v>
      </c>
      <c r="G141" t="s">
        <v>29</v>
      </c>
      <c r="H141" s="2">
        <f>Table1[[#This Row],[resolution_date]]-Table1[[#This Row],[submission_date]]</f>
        <v>5.8234886574064149</v>
      </c>
      <c r="I141" s="2" t="str">
        <f>TEXT(Table1[[#This Row],[submission_date]],"ddd")</f>
        <v>Thu</v>
      </c>
      <c r="J141" s="2" t="str">
        <f>TEXT(Table1[[#This Row],[submission_date]],"mmm")</f>
        <v>Aug</v>
      </c>
      <c r="K141" s="10">
        <f>Table1[[#This Row],[Resolution Time]]*24</f>
        <v>139.76372777775396</v>
      </c>
    </row>
    <row r="142" spans="1:11" x14ac:dyDescent="0.3">
      <c r="A142" t="s">
        <v>308</v>
      </c>
      <c r="B142" s="2">
        <v>45874.456965682868</v>
      </c>
      <c r="C142" s="2">
        <v>45875.076861180554</v>
      </c>
      <c r="D142" t="s">
        <v>21</v>
      </c>
      <c r="E142" t="s">
        <v>46</v>
      </c>
      <c r="F142" t="s">
        <v>309</v>
      </c>
      <c r="G142" t="s">
        <v>16</v>
      </c>
      <c r="H142" s="2">
        <f>Table1[[#This Row],[resolution_date]]-Table1[[#This Row],[submission_date]]</f>
        <v>0.61989549768622965</v>
      </c>
      <c r="I142" s="2" t="str">
        <f>TEXT(Table1[[#This Row],[submission_date]],"ddd")</f>
        <v>Tue</v>
      </c>
      <c r="J142" s="2" t="str">
        <f>TEXT(Table1[[#This Row],[submission_date]],"mmm")</f>
        <v>Aug</v>
      </c>
      <c r="K142" s="10">
        <f>Table1[[#This Row],[Resolution Time]]*24</f>
        <v>14.877491944469512</v>
      </c>
    </row>
    <row r="143" spans="1:11" x14ac:dyDescent="0.3">
      <c r="A143" t="s">
        <v>310</v>
      </c>
      <c r="B143" s="2">
        <v>45887.431979837966</v>
      </c>
      <c r="C143" s="2">
        <v>45887.968167638886</v>
      </c>
      <c r="D143" t="s">
        <v>21</v>
      </c>
      <c r="E143" t="s">
        <v>9</v>
      </c>
      <c r="F143" t="s">
        <v>311</v>
      </c>
      <c r="G143" t="s">
        <v>16</v>
      </c>
      <c r="H143" s="2">
        <f>Table1[[#This Row],[resolution_date]]-Table1[[#This Row],[submission_date]]</f>
        <v>0.53618780092074303</v>
      </c>
      <c r="I143" s="2" t="str">
        <f>TEXT(Table1[[#This Row],[submission_date]],"ddd")</f>
        <v>Mon</v>
      </c>
      <c r="J143" s="2" t="str">
        <f>TEXT(Table1[[#This Row],[submission_date]],"mmm")</f>
        <v>Aug</v>
      </c>
      <c r="K143" s="10">
        <f>Table1[[#This Row],[Resolution Time]]*24</f>
        <v>12.868507222097833</v>
      </c>
    </row>
    <row r="144" spans="1:11" x14ac:dyDescent="0.3">
      <c r="A144" t="s">
        <v>312</v>
      </c>
      <c r="B144" s="2">
        <v>45913.681012118053</v>
      </c>
      <c r="C144" s="2">
        <v>45914.899067337959</v>
      </c>
      <c r="D144" t="s">
        <v>45</v>
      </c>
      <c r="E144" t="s">
        <v>25</v>
      </c>
      <c r="F144" t="s">
        <v>313</v>
      </c>
      <c r="G144" t="s">
        <v>16</v>
      </c>
      <c r="H144" s="2">
        <f>Table1[[#This Row],[resolution_date]]-Table1[[#This Row],[submission_date]]</f>
        <v>1.2180552199060912</v>
      </c>
      <c r="I144" s="2" t="str">
        <f>TEXT(Table1[[#This Row],[submission_date]],"ddd")</f>
        <v>Sat</v>
      </c>
      <c r="J144" s="2" t="str">
        <f>TEXT(Table1[[#This Row],[submission_date]],"mmm")</f>
        <v>Sep</v>
      </c>
      <c r="K144" s="10">
        <f>Table1[[#This Row],[Resolution Time]]*24</f>
        <v>29.233325277746189</v>
      </c>
    </row>
    <row r="145" spans="1:11" x14ac:dyDescent="0.3">
      <c r="A145" t="s">
        <v>314</v>
      </c>
      <c r="B145" s="2">
        <v>45872.284382627317</v>
      </c>
      <c r="C145" s="2">
        <v>45875.951124525462</v>
      </c>
      <c r="D145" t="s">
        <v>21</v>
      </c>
      <c r="E145" t="s">
        <v>22</v>
      </c>
      <c r="F145" t="s">
        <v>315</v>
      </c>
      <c r="G145" t="s">
        <v>29</v>
      </c>
      <c r="H145" s="2">
        <f>Table1[[#This Row],[resolution_date]]-Table1[[#This Row],[submission_date]]</f>
        <v>3.6667418981451192</v>
      </c>
      <c r="I145" s="2" t="str">
        <f>TEXT(Table1[[#This Row],[submission_date]],"ddd")</f>
        <v>Sun</v>
      </c>
      <c r="J145" s="2" t="str">
        <f>TEXT(Table1[[#This Row],[submission_date]],"mmm")</f>
        <v>Aug</v>
      </c>
      <c r="K145" s="10">
        <f>Table1[[#This Row],[Resolution Time]]*24</f>
        <v>88.001805555482861</v>
      </c>
    </row>
    <row r="146" spans="1:11" x14ac:dyDescent="0.3">
      <c r="A146" t="s">
        <v>316</v>
      </c>
      <c r="B146" s="2">
        <v>45835.128006678242</v>
      </c>
      <c r="C146" s="2">
        <v>45835.63756747685</v>
      </c>
      <c r="D146" t="s">
        <v>13</v>
      </c>
      <c r="E146" t="s">
        <v>46</v>
      </c>
      <c r="F146" t="s">
        <v>317</v>
      </c>
      <c r="G146" t="s">
        <v>16</v>
      </c>
      <c r="H146" s="2">
        <f>Table1[[#This Row],[resolution_date]]-Table1[[#This Row],[submission_date]]</f>
        <v>0.50956079860770842</v>
      </c>
      <c r="I146" s="2" t="str">
        <f>TEXT(Table1[[#This Row],[submission_date]],"ddd")</f>
        <v>Fri</v>
      </c>
      <c r="J146" s="2" t="str">
        <f>TEXT(Table1[[#This Row],[submission_date]],"mmm")</f>
        <v>Jun</v>
      </c>
      <c r="K146" s="10">
        <f>Table1[[#This Row],[Resolution Time]]*24</f>
        <v>12.229459166585002</v>
      </c>
    </row>
    <row r="147" spans="1:11" x14ac:dyDescent="0.3">
      <c r="A147" t="s">
        <v>318</v>
      </c>
      <c r="B147" s="2">
        <v>45900.65947421296</v>
      </c>
      <c r="C147" s="2">
        <v>45900.743211898145</v>
      </c>
      <c r="D147" t="s">
        <v>81</v>
      </c>
      <c r="E147" t="s">
        <v>22</v>
      </c>
      <c r="F147" t="s">
        <v>319</v>
      </c>
      <c r="G147" t="s">
        <v>115</v>
      </c>
      <c r="H147" s="2">
        <f>Table1[[#This Row],[resolution_date]]-Table1[[#This Row],[submission_date]]</f>
        <v>8.373768518504221E-2</v>
      </c>
      <c r="I147" s="2" t="str">
        <f>TEXT(Table1[[#This Row],[submission_date]],"ddd")</f>
        <v>Sun</v>
      </c>
      <c r="J147" s="2" t="str">
        <f>TEXT(Table1[[#This Row],[submission_date]],"mmm")</f>
        <v>Aug</v>
      </c>
      <c r="K147" s="10">
        <f>Table1[[#This Row],[Resolution Time]]*24</f>
        <v>2.009704444441013</v>
      </c>
    </row>
    <row r="148" spans="1:11" x14ac:dyDescent="0.3">
      <c r="A148" t="s">
        <v>320</v>
      </c>
      <c r="B148" s="2">
        <v>45832.460665983795</v>
      </c>
      <c r="C148" s="2">
        <v>45832.787722476853</v>
      </c>
      <c r="D148" t="s">
        <v>45</v>
      </c>
      <c r="E148" t="s">
        <v>35</v>
      </c>
      <c r="F148" t="s">
        <v>321</v>
      </c>
      <c r="G148" t="s">
        <v>11</v>
      </c>
      <c r="H148" s="2">
        <f>Table1[[#This Row],[resolution_date]]-Table1[[#This Row],[submission_date]]</f>
        <v>0.32705649305717088</v>
      </c>
      <c r="I148" s="2" t="str">
        <f>TEXT(Table1[[#This Row],[submission_date]],"ddd")</f>
        <v>Tue</v>
      </c>
      <c r="J148" s="2" t="str">
        <f>TEXT(Table1[[#This Row],[submission_date]],"mmm")</f>
        <v>Jun</v>
      </c>
      <c r="K148" s="10">
        <f>Table1[[#This Row],[Resolution Time]]*24</f>
        <v>7.8493558333721012</v>
      </c>
    </row>
    <row r="149" spans="1:11" x14ac:dyDescent="0.3">
      <c r="A149" t="s">
        <v>322</v>
      </c>
      <c r="B149" s="2">
        <v>45902.70604621528</v>
      </c>
      <c r="C149" s="2">
        <v>45906.209134826386</v>
      </c>
      <c r="D149" t="s">
        <v>60</v>
      </c>
      <c r="E149" t="s">
        <v>22</v>
      </c>
      <c r="F149" t="s">
        <v>323</v>
      </c>
      <c r="G149" t="s">
        <v>29</v>
      </c>
      <c r="H149" s="2">
        <f>Table1[[#This Row],[resolution_date]]-Table1[[#This Row],[submission_date]]</f>
        <v>3.5030886111053405</v>
      </c>
      <c r="I149" s="2" t="str">
        <f>TEXT(Table1[[#This Row],[submission_date]],"ddd")</f>
        <v>Tue</v>
      </c>
      <c r="J149" s="2" t="str">
        <f>TEXT(Table1[[#This Row],[submission_date]],"mmm")</f>
        <v>Sep</v>
      </c>
      <c r="K149" s="10">
        <f>Table1[[#This Row],[Resolution Time]]*24</f>
        <v>84.074126666528173</v>
      </c>
    </row>
    <row r="150" spans="1:11" x14ac:dyDescent="0.3">
      <c r="A150" t="s">
        <v>324</v>
      </c>
      <c r="B150" s="2">
        <v>45854.598774027778</v>
      </c>
      <c r="C150" s="2">
        <v>45855.701526377314</v>
      </c>
      <c r="D150" t="s">
        <v>8</v>
      </c>
      <c r="E150" t="s">
        <v>42</v>
      </c>
      <c r="F150" t="s">
        <v>325</v>
      </c>
      <c r="G150" t="s">
        <v>16</v>
      </c>
      <c r="H150" s="2">
        <f>Table1[[#This Row],[resolution_date]]-Table1[[#This Row],[submission_date]]</f>
        <v>1.1027523495358764</v>
      </c>
      <c r="I150" s="2" t="str">
        <f>TEXT(Table1[[#This Row],[submission_date]],"ddd")</f>
        <v>Wed</v>
      </c>
      <c r="J150" s="2" t="str">
        <f>TEXT(Table1[[#This Row],[submission_date]],"mmm")</f>
        <v>Jul</v>
      </c>
      <c r="K150" s="10">
        <f>Table1[[#This Row],[Resolution Time]]*24</f>
        <v>26.466056388861034</v>
      </c>
    </row>
    <row r="151" spans="1:11" x14ac:dyDescent="0.3">
      <c r="A151" t="s">
        <v>326</v>
      </c>
      <c r="B151" s="2">
        <v>45869.175449467592</v>
      </c>
      <c r="C151" s="2">
        <v>45870.175988194445</v>
      </c>
      <c r="D151" t="s">
        <v>21</v>
      </c>
      <c r="E151" t="s">
        <v>9</v>
      </c>
      <c r="F151" t="s">
        <v>327</v>
      </c>
      <c r="G151" t="s">
        <v>16</v>
      </c>
      <c r="H151" s="2">
        <f>Table1[[#This Row],[resolution_date]]-Table1[[#This Row],[submission_date]]</f>
        <v>1.000538726853847</v>
      </c>
      <c r="I151" s="2" t="str">
        <f>TEXT(Table1[[#This Row],[submission_date]],"ddd")</f>
        <v>Thu</v>
      </c>
      <c r="J151" s="2" t="str">
        <f>TEXT(Table1[[#This Row],[submission_date]],"mmm")</f>
        <v>Jul</v>
      </c>
      <c r="K151" s="10">
        <f>Table1[[#This Row],[Resolution Time]]*24</f>
        <v>24.012929444492329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0239-E23C-498D-BE10-954472331817}">
  <dimension ref="A1"/>
  <sheetViews>
    <sheetView tabSelected="1" topLeftCell="A2" workbookViewId="0">
      <selection activeCell="P9" sqref="P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4BAB-4DB2-40C6-92E4-0B8B09CF9AFD}">
  <dimension ref="A1:K151"/>
  <sheetViews>
    <sheetView workbookViewId="0">
      <selection activeCell="E7" sqref="E7"/>
    </sheetView>
  </sheetViews>
  <sheetFormatPr defaultRowHeight="14.4" x14ac:dyDescent="0.3"/>
  <cols>
    <col min="2" max="2" width="17.21875" style="2" customWidth="1"/>
    <col min="5" max="5" width="16.21875" style="10" customWidth="1"/>
  </cols>
  <sheetData>
    <row r="1" spans="1:11" x14ac:dyDescent="0.3">
      <c r="A1" s="5" t="s">
        <v>6</v>
      </c>
      <c r="B1" s="11" t="s">
        <v>328</v>
      </c>
      <c r="C1" s="5" t="s">
        <v>329</v>
      </c>
      <c r="D1" s="5" t="s">
        <v>345</v>
      </c>
      <c r="E1" s="16" t="s">
        <v>369</v>
      </c>
    </row>
    <row r="2" spans="1:11" x14ac:dyDescent="0.3">
      <c r="A2" s="6" t="s">
        <v>11</v>
      </c>
      <c r="B2" s="12">
        <f>Table1[[#This Row],[resolution_date]]-Table1[[#This Row],[submission_date]]</f>
        <v>0.21556331018655328</v>
      </c>
      <c r="C2" s="12" t="str">
        <f>TEXT(Table1[[#This Row],[submission_date]],"ddd")</f>
        <v>Fri</v>
      </c>
      <c r="D2" s="12" t="str">
        <f>TEXT(Table1[[#This Row],[submission_date]],"mmm")</f>
        <v>Jun</v>
      </c>
      <c r="E2" s="13">
        <f>Table1[[#This Row],[Resolution Time]]*24</f>
        <v>5.1735194444772787</v>
      </c>
    </row>
    <row r="3" spans="1:11" x14ac:dyDescent="0.3">
      <c r="A3" s="7" t="s">
        <v>16</v>
      </c>
      <c r="B3" s="14">
        <f>Table1[[#This Row],[resolution_date]]-Table1[[#This Row],[submission_date]]</f>
        <v>1.4931334374996368</v>
      </c>
      <c r="C3" s="14" t="str">
        <f>TEXT(Table1[[#This Row],[submission_date]],"ddd")</f>
        <v>Mon</v>
      </c>
      <c r="D3" s="14" t="str">
        <f>TEXT(Table1[[#This Row],[submission_date]],"mmm")</f>
        <v>Sep</v>
      </c>
      <c r="E3" s="15">
        <f>Table1[[#This Row],[Resolution Time]]*24</f>
        <v>35.835202499991283</v>
      </c>
    </row>
    <row r="4" spans="1:11" x14ac:dyDescent="0.3">
      <c r="A4" s="6" t="s">
        <v>16</v>
      </c>
      <c r="B4" s="12">
        <f>Table1[[#This Row],[resolution_date]]-Table1[[#This Row],[submission_date]]</f>
        <v>1.5962265624984866</v>
      </c>
      <c r="C4" s="12" t="str">
        <f>TEXT(Table1[[#This Row],[submission_date]],"ddd")</f>
        <v>Thu</v>
      </c>
      <c r="D4" s="12" t="str">
        <f>TEXT(Table1[[#This Row],[submission_date]],"mmm")</f>
        <v>Sep</v>
      </c>
      <c r="E4" s="13">
        <f>Table1[[#This Row],[Resolution Time]]*24</f>
        <v>38.309437499963678</v>
      </c>
    </row>
    <row r="5" spans="1:11" x14ac:dyDescent="0.3">
      <c r="A5" s="7" t="s">
        <v>11</v>
      </c>
      <c r="B5" s="14">
        <f>Table1[[#This Row],[resolution_date]]-Table1[[#This Row],[submission_date]]</f>
        <v>0.32691324073675787</v>
      </c>
      <c r="C5" s="14" t="str">
        <f>TEXT(Table1[[#This Row],[submission_date]],"ddd")</f>
        <v>Mon</v>
      </c>
      <c r="D5" s="14" t="str">
        <f>TEXT(Table1[[#This Row],[submission_date]],"mmm")</f>
        <v>Jul</v>
      </c>
      <c r="E5" s="15">
        <f>Table1[[#This Row],[Resolution Time]]*24</f>
        <v>7.8459177776821889</v>
      </c>
    </row>
    <row r="6" spans="1:11" x14ac:dyDescent="0.3">
      <c r="A6" s="6" t="s">
        <v>11</v>
      </c>
      <c r="B6" s="12">
        <f>Table1[[#This Row],[resolution_date]]-Table1[[#This Row],[submission_date]]</f>
        <v>0.37984409722412238</v>
      </c>
      <c r="C6" s="12" t="str">
        <f>TEXT(Table1[[#This Row],[submission_date]],"ddd")</f>
        <v>Wed</v>
      </c>
      <c r="D6" s="12" t="str">
        <f>TEXT(Table1[[#This Row],[submission_date]],"mmm")</f>
        <v>Sep</v>
      </c>
      <c r="E6" s="13">
        <f>Table1[[#This Row],[Resolution Time]]*24</f>
        <v>9.1162583333789371</v>
      </c>
    </row>
    <row r="7" spans="1:11" x14ac:dyDescent="0.3">
      <c r="A7" s="7" t="s">
        <v>29</v>
      </c>
      <c r="B7" s="14">
        <f>Table1[[#This Row],[resolution_date]]-Table1[[#This Row],[submission_date]]</f>
        <v>5.5555703124991851</v>
      </c>
      <c r="C7" s="14" t="str">
        <f>TEXT(Table1[[#This Row],[submission_date]],"ddd")</f>
        <v>Mon</v>
      </c>
      <c r="D7" s="14" t="str">
        <f>TEXT(Table1[[#This Row],[submission_date]],"mmm")</f>
        <v>Aug</v>
      </c>
      <c r="E7" s="15">
        <f>Table1[[#This Row],[Resolution Time]]*24</f>
        <v>133.33368749998044</v>
      </c>
    </row>
    <row r="8" spans="1:11" x14ac:dyDescent="0.3">
      <c r="A8" s="6" t="s">
        <v>29</v>
      </c>
      <c r="B8" s="12">
        <f>Table1[[#This Row],[resolution_date]]-Table1[[#This Row],[submission_date]]</f>
        <v>1.1483078703677165</v>
      </c>
      <c r="C8" s="12" t="str">
        <f>TEXT(Table1[[#This Row],[submission_date]],"ddd")</f>
        <v>Fri</v>
      </c>
      <c r="D8" s="12" t="str">
        <f>TEXT(Table1[[#This Row],[submission_date]],"mmm")</f>
        <v>Aug</v>
      </c>
      <c r="E8" s="13">
        <f>Table1[[#This Row],[Resolution Time]]*24</f>
        <v>27.559388888825197</v>
      </c>
    </row>
    <row r="9" spans="1:11" x14ac:dyDescent="0.3">
      <c r="A9" s="7" t="s">
        <v>29</v>
      </c>
      <c r="B9" s="14">
        <f>Table1[[#This Row],[resolution_date]]-Table1[[#This Row],[submission_date]]</f>
        <v>4.5297630439818022</v>
      </c>
      <c r="C9" s="14" t="str">
        <f>TEXT(Table1[[#This Row],[submission_date]],"ddd")</f>
        <v>Sat</v>
      </c>
      <c r="D9" s="14" t="str">
        <f>TEXT(Table1[[#This Row],[submission_date]],"mmm")</f>
        <v>Jul</v>
      </c>
      <c r="E9" s="15">
        <f>Table1[[#This Row],[Resolution Time]]*24</f>
        <v>108.71431305556325</v>
      </c>
    </row>
    <row r="10" spans="1:11" x14ac:dyDescent="0.3">
      <c r="A10" s="6" t="s">
        <v>16</v>
      </c>
      <c r="B10" s="12">
        <f>Table1[[#This Row],[resolution_date]]-Table1[[#This Row],[submission_date]]</f>
        <v>0.72447325231041759</v>
      </c>
      <c r="C10" s="12" t="str">
        <f>TEXT(Table1[[#This Row],[submission_date]],"ddd")</f>
        <v>Mon</v>
      </c>
      <c r="D10" s="12" t="str">
        <f>TEXT(Table1[[#This Row],[submission_date]],"mmm")</f>
        <v>Jul</v>
      </c>
      <c r="E10" s="13">
        <f>Table1[[#This Row],[Resolution Time]]*24</f>
        <v>17.387358055450022</v>
      </c>
    </row>
    <row r="11" spans="1:11" x14ac:dyDescent="0.3">
      <c r="A11" s="7" t="s">
        <v>16</v>
      </c>
      <c r="B11" s="14">
        <f>Table1[[#This Row],[resolution_date]]-Table1[[#This Row],[submission_date]]</f>
        <v>1.2146328703674953</v>
      </c>
      <c r="C11" s="14" t="str">
        <f>TEXT(Table1[[#This Row],[submission_date]],"ddd")</f>
        <v>Wed</v>
      </c>
      <c r="D11" s="14" t="str">
        <f>TEXT(Table1[[#This Row],[submission_date]],"mmm")</f>
        <v>Sep</v>
      </c>
      <c r="E11" s="15">
        <f>Table1[[#This Row],[Resolution Time]]*24</f>
        <v>29.151188888819888</v>
      </c>
      <c r="K11" s="2"/>
    </row>
    <row r="12" spans="1:11" x14ac:dyDescent="0.3">
      <c r="A12" s="6" t="s">
        <v>29</v>
      </c>
      <c r="B12" s="12">
        <f>Table1[[#This Row],[resolution_date]]-Table1[[#This Row],[submission_date]]</f>
        <v>6.1308973032355425</v>
      </c>
      <c r="C12" s="12" t="str">
        <f>TEXT(Table1[[#This Row],[submission_date]],"ddd")</f>
        <v>Wed</v>
      </c>
      <c r="D12" s="12" t="str">
        <f>TEXT(Table1[[#This Row],[submission_date]],"mmm")</f>
        <v>Aug</v>
      </c>
      <c r="E12" s="13">
        <f>Table1[[#This Row],[Resolution Time]]*24</f>
        <v>147.14153527765302</v>
      </c>
    </row>
    <row r="13" spans="1:11" x14ac:dyDescent="0.3">
      <c r="A13" s="7" t="s">
        <v>11</v>
      </c>
      <c r="B13" s="14">
        <f>Table1[[#This Row],[resolution_date]]-Table1[[#This Row],[submission_date]]</f>
        <v>0.15988438657223014</v>
      </c>
      <c r="C13" s="14" t="str">
        <f>TEXT(Table1[[#This Row],[submission_date]],"ddd")</f>
        <v>Tue</v>
      </c>
      <c r="D13" s="14" t="str">
        <f>TEXT(Table1[[#This Row],[submission_date]],"mmm")</f>
        <v>Jun</v>
      </c>
      <c r="E13" s="15">
        <f>Table1[[#This Row],[Resolution Time]]*24</f>
        <v>3.8372252777335234</v>
      </c>
    </row>
    <row r="14" spans="1:11" x14ac:dyDescent="0.3">
      <c r="A14" s="6" t="s">
        <v>16</v>
      </c>
      <c r="B14" s="12">
        <f>Table1[[#This Row],[resolution_date]]-Table1[[#This Row],[submission_date]]</f>
        <v>0.71312657406815561</v>
      </c>
      <c r="C14" s="12" t="str">
        <f>TEXT(Table1[[#This Row],[submission_date]],"ddd")</f>
        <v>Sat</v>
      </c>
      <c r="D14" s="12" t="str">
        <f>TEXT(Table1[[#This Row],[submission_date]],"mmm")</f>
        <v>Jun</v>
      </c>
      <c r="E14" s="13">
        <f>Table1[[#This Row],[Resolution Time]]*24</f>
        <v>17.115037777635735</v>
      </c>
    </row>
    <row r="15" spans="1:11" x14ac:dyDescent="0.3">
      <c r="A15" s="7" t="s">
        <v>29</v>
      </c>
      <c r="B15" s="14">
        <f>Table1[[#This Row],[resolution_date]]-Table1[[#This Row],[submission_date]]</f>
        <v>4.2818313541647512</v>
      </c>
      <c r="C15" s="14" t="str">
        <f>TEXT(Table1[[#This Row],[submission_date]],"ddd")</f>
        <v>Tue</v>
      </c>
      <c r="D15" s="14" t="str">
        <f>TEXT(Table1[[#This Row],[submission_date]],"mmm")</f>
        <v>Jul</v>
      </c>
      <c r="E15" s="15">
        <f>Table1[[#This Row],[Resolution Time]]*24</f>
        <v>102.76395249995403</v>
      </c>
    </row>
    <row r="16" spans="1:11" x14ac:dyDescent="0.3">
      <c r="A16" s="6" t="s">
        <v>11</v>
      </c>
      <c r="B16" s="12">
        <f>Table1[[#This Row],[resolution_date]]-Table1[[#This Row],[submission_date]]</f>
        <v>0.11011243055691011</v>
      </c>
      <c r="C16" s="12" t="str">
        <f>TEXT(Table1[[#This Row],[submission_date]],"ddd")</f>
        <v>Wed</v>
      </c>
      <c r="D16" s="12" t="str">
        <f>TEXT(Table1[[#This Row],[submission_date]],"mmm")</f>
        <v>Jul</v>
      </c>
      <c r="E16" s="13">
        <f>Table1[[#This Row],[Resolution Time]]*24</f>
        <v>2.6426983333658427</v>
      </c>
    </row>
    <row r="17" spans="1:5" x14ac:dyDescent="0.3">
      <c r="A17" s="7" t="s">
        <v>11</v>
      </c>
      <c r="B17" s="14">
        <f>Table1[[#This Row],[resolution_date]]-Table1[[#This Row],[submission_date]]</f>
        <v>0.11517026620276738</v>
      </c>
      <c r="C17" s="14" t="str">
        <f>TEXT(Table1[[#This Row],[submission_date]],"ddd")</f>
        <v>Wed</v>
      </c>
      <c r="D17" s="14" t="str">
        <f>TEXT(Table1[[#This Row],[submission_date]],"mmm")</f>
        <v>Jul</v>
      </c>
      <c r="E17" s="15">
        <f>Table1[[#This Row],[Resolution Time]]*24</f>
        <v>2.7640863888664171</v>
      </c>
    </row>
    <row r="18" spans="1:5" x14ac:dyDescent="0.3">
      <c r="A18" s="6" t="s">
        <v>29</v>
      </c>
      <c r="B18" s="12">
        <f>Table1[[#This Row],[resolution_date]]-Table1[[#This Row],[submission_date]]</f>
        <v>4.8519405324113904</v>
      </c>
      <c r="C18" s="12" t="str">
        <f>TEXT(Table1[[#This Row],[submission_date]],"ddd")</f>
        <v>Wed</v>
      </c>
      <c r="D18" s="12" t="str">
        <f>TEXT(Table1[[#This Row],[submission_date]],"mmm")</f>
        <v>Aug</v>
      </c>
      <c r="E18" s="13">
        <f>Table1[[#This Row],[Resolution Time]]*24</f>
        <v>116.44657277787337</v>
      </c>
    </row>
    <row r="19" spans="1:5" x14ac:dyDescent="0.3">
      <c r="A19" s="7" t="s">
        <v>29</v>
      </c>
      <c r="B19" s="14">
        <f>Table1[[#This Row],[resolution_date]]-Table1[[#This Row],[submission_date]]</f>
        <v>2.1632500000050641</v>
      </c>
      <c r="C19" s="14" t="str">
        <f>TEXT(Table1[[#This Row],[submission_date]],"ddd")</f>
        <v>Mon</v>
      </c>
      <c r="D19" s="14" t="str">
        <f>TEXT(Table1[[#This Row],[submission_date]],"mmm")</f>
        <v>Jun</v>
      </c>
      <c r="E19" s="15">
        <f>Table1[[#This Row],[Resolution Time]]*24</f>
        <v>51.918000000121538</v>
      </c>
    </row>
    <row r="20" spans="1:5" x14ac:dyDescent="0.3">
      <c r="A20" s="6" t="s">
        <v>29</v>
      </c>
      <c r="B20" s="12">
        <f>Table1[[#This Row],[resolution_date]]-Table1[[#This Row],[submission_date]]</f>
        <v>3.5314890509253019</v>
      </c>
      <c r="C20" s="12" t="str">
        <f>TEXT(Table1[[#This Row],[submission_date]],"ddd")</f>
        <v>Mon</v>
      </c>
      <c r="D20" s="12" t="str">
        <f>TEXT(Table1[[#This Row],[submission_date]],"mmm")</f>
        <v>Jun</v>
      </c>
      <c r="E20" s="13">
        <f>Table1[[#This Row],[Resolution Time]]*24</f>
        <v>84.755737222207244</v>
      </c>
    </row>
    <row r="21" spans="1:5" x14ac:dyDescent="0.3">
      <c r="A21" s="7" t="s">
        <v>16</v>
      </c>
      <c r="B21" s="14">
        <f>Table1[[#This Row],[resolution_date]]-Table1[[#This Row],[submission_date]]</f>
        <v>1.6884667361155152</v>
      </c>
      <c r="C21" s="14" t="str">
        <f>TEXT(Table1[[#This Row],[submission_date]],"ddd")</f>
        <v>Thu</v>
      </c>
      <c r="D21" s="14" t="str">
        <f>TEXT(Table1[[#This Row],[submission_date]],"mmm")</f>
        <v>Jul</v>
      </c>
      <c r="E21" s="15">
        <f>Table1[[#This Row],[Resolution Time]]*24</f>
        <v>40.523201666772366</v>
      </c>
    </row>
    <row r="22" spans="1:5" x14ac:dyDescent="0.3">
      <c r="A22" s="6" t="s">
        <v>16</v>
      </c>
      <c r="B22" s="12">
        <f>Table1[[#This Row],[resolution_date]]-Table1[[#This Row],[submission_date]]</f>
        <v>1.5118351504643215</v>
      </c>
      <c r="C22" s="12" t="str">
        <f>TEXT(Table1[[#This Row],[submission_date]],"ddd")</f>
        <v>Mon</v>
      </c>
      <c r="D22" s="12" t="str">
        <f>TEXT(Table1[[#This Row],[submission_date]],"mmm")</f>
        <v>Jun</v>
      </c>
      <c r="E22" s="13">
        <f>Table1[[#This Row],[Resolution Time]]*24</f>
        <v>36.284043611143716</v>
      </c>
    </row>
    <row r="23" spans="1:5" x14ac:dyDescent="0.3">
      <c r="A23" s="7" t="s">
        <v>16</v>
      </c>
      <c r="B23" s="14">
        <f>Table1[[#This Row],[resolution_date]]-Table1[[#This Row],[submission_date]]</f>
        <v>1.9099031597215799</v>
      </c>
      <c r="C23" s="14" t="str">
        <f>TEXT(Table1[[#This Row],[submission_date]],"ddd")</f>
        <v>Tue</v>
      </c>
      <c r="D23" s="14" t="str">
        <f>TEXT(Table1[[#This Row],[submission_date]],"mmm")</f>
        <v>Jul</v>
      </c>
      <c r="E23" s="15">
        <f>Table1[[#This Row],[Resolution Time]]*24</f>
        <v>45.837675833317917</v>
      </c>
    </row>
    <row r="24" spans="1:5" x14ac:dyDescent="0.3">
      <c r="A24" s="6" t="s">
        <v>16</v>
      </c>
      <c r="B24" s="12">
        <f>Table1[[#This Row],[resolution_date]]-Table1[[#This Row],[submission_date]]</f>
        <v>0.7114427662017988</v>
      </c>
      <c r="C24" s="12" t="str">
        <f>TEXT(Table1[[#This Row],[submission_date]],"ddd")</f>
        <v>Sun</v>
      </c>
      <c r="D24" s="12" t="str">
        <f>TEXT(Table1[[#This Row],[submission_date]],"mmm")</f>
        <v>Jun</v>
      </c>
      <c r="E24" s="13">
        <f>Table1[[#This Row],[Resolution Time]]*24</f>
        <v>17.074626388843171</v>
      </c>
    </row>
    <row r="25" spans="1:5" x14ac:dyDescent="0.3">
      <c r="A25" s="7" t="s">
        <v>16</v>
      </c>
      <c r="B25" s="14">
        <f>Table1[[#This Row],[resolution_date]]-Table1[[#This Row],[submission_date]]</f>
        <v>1.6637965393456398</v>
      </c>
      <c r="C25" s="14" t="str">
        <f>TEXT(Table1[[#This Row],[submission_date]],"ddd")</f>
        <v>Fri</v>
      </c>
      <c r="D25" s="14" t="str">
        <f>TEXT(Table1[[#This Row],[submission_date]],"mmm")</f>
        <v>Aug</v>
      </c>
      <c r="E25" s="15">
        <f>Table1[[#This Row],[Resolution Time]]*24</f>
        <v>39.931116944295354</v>
      </c>
    </row>
    <row r="26" spans="1:5" x14ac:dyDescent="0.3">
      <c r="A26" s="6" t="s">
        <v>29</v>
      </c>
      <c r="B26" s="12">
        <f>Table1[[#This Row],[resolution_date]]-Table1[[#This Row],[submission_date]]</f>
        <v>4.2534478356465115</v>
      </c>
      <c r="C26" s="12" t="str">
        <f>TEXT(Table1[[#This Row],[submission_date]],"ddd")</f>
        <v>Sat</v>
      </c>
      <c r="D26" s="12" t="str">
        <f>TEXT(Table1[[#This Row],[submission_date]],"mmm")</f>
        <v>Jul</v>
      </c>
      <c r="E26" s="13">
        <f>Table1[[#This Row],[Resolution Time]]*24</f>
        <v>102.08274805551628</v>
      </c>
    </row>
    <row r="27" spans="1:5" x14ac:dyDescent="0.3">
      <c r="A27" s="7" t="s">
        <v>16</v>
      </c>
      <c r="B27" s="14">
        <f>Table1[[#This Row],[resolution_date]]-Table1[[#This Row],[submission_date]]</f>
        <v>1.5785775115728029</v>
      </c>
      <c r="C27" s="14" t="str">
        <f>TEXT(Table1[[#This Row],[submission_date]],"ddd")</f>
        <v>Sun</v>
      </c>
      <c r="D27" s="14" t="str">
        <f>TEXT(Table1[[#This Row],[submission_date]],"mmm")</f>
        <v>Jul</v>
      </c>
      <c r="E27" s="15">
        <f>Table1[[#This Row],[Resolution Time]]*24</f>
        <v>37.88586027774727</v>
      </c>
    </row>
    <row r="28" spans="1:5" x14ac:dyDescent="0.3">
      <c r="A28" s="6" t="s">
        <v>11</v>
      </c>
      <c r="B28" s="12">
        <f>Table1[[#This Row],[resolution_date]]-Table1[[#This Row],[submission_date]]</f>
        <v>0.49167473379930016</v>
      </c>
      <c r="C28" s="12" t="str">
        <f>TEXT(Table1[[#This Row],[submission_date]],"ddd")</f>
        <v>Tue</v>
      </c>
      <c r="D28" s="12" t="str">
        <f>TEXT(Table1[[#This Row],[submission_date]],"mmm")</f>
        <v>Jun</v>
      </c>
      <c r="E28" s="13">
        <f>Table1[[#This Row],[Resolution Time]]*24</f>
        <v>11.800193611183204</v>
      </c>
    </row>
    <row r="29" spans="1:5" x14ac:dyDescent="0.3">
      <c r="A29" s="7" t="s">
        <v>16</v>
      </c>
      <c r="B29" s="14">
        <f>Table1[[#This Row],[resolution_date]]-Table1[[#This Row],[submission_date]]</f>
        <v>1.9070437268528622</v>
      </c>
      <c r="C29" s="14" t="str">
        <f>TEXT(Table1[[#This Row],[submission_date]],"ddd")</f>
        <v>Thu</v>
      </c>
      <c r="D29" s="14" t="str">
        <f>TEXT(Table1[[#This Row],[submission_date]],"mmm")</f>
        <v>Jul</v>
      </c>
      <c r="E29" s="15">
        <f>Table1[[#This Row],[Resolution Time]]*24</f>
        <v>45.769049444468692</v>
      </c>
    </row>
    <row r="30" spans="1:5" x14ac:dyDescent="0.3">
      <c r="A30" s="6" t="s">
        <v>29</v>
      </c>
      <c r="B30" s="12">
        <f>Table1[[#This Row],[resolution_date]]-Table1[[#This Row],[submission_date]]</f>
        <v>1.7877383796294453</v>
      </c>
      <c r="C30" s="12" t="str">
        <f>TEXT(Table1[[#This Row],[submission_date]],"ddd")</f>
        <v>Mon</v>
      </c>
      <c r="D30" s="12" t="str">
        <f>TEXT(Table1[[#This Row],[submission_date]],"mmm")</f>
        <v>Sep</v>
      </c>
      <c r="E30" s="13">
        <f>Table1[[#This Row],[Resolution Time]]*24</f>
        <v>42.905721111106686</v>
      </c>
    </row>
    <row r="31" spans="1:5" x14ac:dyDescent="0.3">
      <c r="A31" s="7" t="s">
        <v>16</v>
      </c>
      <c r="B31" s="14">
        <f>Table1[[#This Row],[resolution_date]]-Table1[[#This Row],[submission_date]]</f>
        <v>1.3623129398110905</v>
      </c>
      <c r="C31" s="14" t="str">
        <f>TEXT(Table1[[#This Row],[submission_date]],"ddd")</f>
        <v>Wed</v>
      </c>
      <c r="D31" s="14" t="str">
        <f>TEXT(Table1[[#This Row],[submission_date]],"mmm")</f>
        <v>Aug</v>
      </c>
      <c r="E31" s="15">
        <f>Table1[[#This Row],[Resolution Time]]*24</f>
        <v>32.695510555466171</v>
      </c>
    </row>
    <row r="32" spans="1:5" x14ac:dyDescent="0.3">
      <c r="A32" s="6" t="s">
        <v>29</v>
      </c>
      <c r="B32" s="12">
        <f>Table1[[#This Row],[resolution_date]]-Table1[[#This Row],[submission_date]]</f>
        <v>6.2646600000007311</v>
      </c>
      <c r="C32" s="12" t="str">
        <f>TEXT(Table1[[#This Row],[submission_date]],"ddd")</f>
        <v>Sat</v>
      </c>
      <c r="D32" s="12" t="str">
        <f>TEXT(Table1[[#This Row],[submission_date]],"mmm")</f>
        <v>Aug</v>
      </c>
      <c r="E32" s="13">
        <f>Table1[[#This Row],[Resolution Time]]*24</f>
        <v>150.35184000001755</v>
      </c>
    </row>
    <row r="33" spans="1:5" x14ac:dyDescent="0.3">
      <c r="A33" s="7" t="s">
        <v>11</v>
      </c>
      <c r="B33" s="14">
        <f>Table1[[#This Row],[resolution_date]]-Table1[[#This Row],[submission_date]]</f>
        <v>0.31691557870362885</v>
      </c>
      <c r="C33" s="14" t="str">
        <f>TEXT(Table1[[#This Row],[submission_date]],"ddd")</f>
        <v>Sun</v>
      </c>
      <c r="D33" s="14" t="str">
        <f>TEXT(Table1[[#This Row],[submission_date]],"mmm")</f>
        <v>Aug</v>
      </c>
      <c r="E33" s="15">
        <f>Table1[[#This Row],[Resolution Time]]*24</f>
        <v>7.6059738888870925</v>
      </c>
    </row>
    <row r="34" spans="1:5" x14ac:dyDescent="0.3">
      <c r="A34" s="6" t="s">
        <v>29</v>
      </c>
      <c r="B34" s="12">
        <f>Table1[[#This Row],[resolution_date]]-Table1[[#This Row],[submission_date]]</f>
        <v>5.5208228356495965</v>
      </c>
      <c r="C34" s="12" t="str">
        <f>TEXT(Table1[[#This Row],[submission_date]],"ddd")</f>
        <v>Fri</v>
      </c>
      <c r="D34" s="12" t="str">
        <f>TEXT(Table1[[#This Row],[submission_date]],"mmm")</f>
        <v>Jul</v>
      </c>
      <c r="E34" s="13">
        <f>Table1[[#This Row],[Resolution Time]]*24</f>
        <v>132.49974805559032</v>
      </c>
    </row>
    <row r="35" spans="1:5" x14ac:dyDescent="0.3">
      <c r="A35" s="7" t="s">
        <v>29</v>
      </c>
      <c r="B35" s="14">
        <f>Table1[[#This Row],[resolution_date]]-Table1[[#This Row],[submission_date]]</f>
        <v>5.4137099421277526</v>
      </c>
      <c r="C35" s="14" t="str">
        <f>TEXT(Table1[[#This Row],[submission_date]],"ddd")</f>
        <v>Thu</v>
      </c>
      <c r="D35" s="14" t="str">
        <f>TEXT(Table1[[#This Row],[submission_date]],"mmm")</f>
        <v>Sep</v>
      </c>
      <c r="E35" s="15">
        <f>Table1[[#This Row],[Resolution Time]]*24</f>
        <v>129.92903861106606</v>
      </c>
    </row>
    <row r="36" spans="1:5" x14ac:dyDescent="0.3">
      <c r="A36" s="6" t="s">
        <v>29</v>
      </c>
      <c r="B36" s="12">
        <f>Table1[[#This Row],[resolution_date]]-Table1[[#This Row],[submission_date]]</f>
        <v>6.1091728819446871</v>
      </c>
      <c r="C36" s="12" t="str">
        <f>TEXT(Table1[[#This Row],[submission_date]],"ddd")</f>
        <v>Sun</v>
      </c>
      <c r="D36" s="12" t="str">
        <f>TEXT(Table1[[#This Row],[submission_date]],"mmm")</f>
        <v>Aug</v>
      </c>
      <c r="E36" s="13">
        <f>Table1[[#This Row],[Resolution Time]]*24</f>
        <v>146.62014916667249</v>
      </c>
    </row>
    <row r="37" spans="1:5" x14ac:dyDescent="0.3">
      <c r="A37" s="7" t="s">
        <v>29</v>
      </c>
      <c r="B37" s="14">
        <f>Table1[[#This Row],[resolution_date]]-Table1[[#This Row],[submission_date]]</f>
        <v>1.075511469905905</v>
      </c>
      <c r="C37" s="14" t="str">
        <f>TEXT(Table1[[#This Row],[submission_date]],"ddd")</f>
        <v>Mon</v>
      </c>
      <c r="D37" s="14" t="str">
        <f>TEXT(Table1[[#This Row],[submission_date]],"mmm")</f>
        <v>Jun</v>
      </c>
      <c r="E37" s="15">
        <f>Table1[[#This Row],[Resolution Time]]*24</f>
        <v>25.812275277741719</v>
      </c>
    </row>
    <row r="38" spans="1:5" x14ac:dyDescent="0.3">
      <c r="A38" s="6" t="s">
        <v>29</v>
      </c>
      <c r="B38" s="12">
        <f>Table1[[#This Row],[resolution_date]]-Table1[[#This Row],[submission_date]]</f>
        <v>3.8974906365765492</v>
      </c>
      <c r="C38" s="12" t="str">
        <f>TEXT(Table1[[#This Row],[submission_date]],"ddd")</f>
        <v>Tue</v>
      </c>
      <c r="D38" s="12" t="str">
        <f>TEXT(Table1[[#This Row],[submission_date]],"mmm")</f>
        <v>Sep</v>
      </c>
      <c r="E38" s="13">
        <f>Table1[[#This Row],[Resolution Time]]*24</f>
        <v>93.53977527783718</v>
      </c>
    </row>
    <row r="39" spans="1:5" x14ac:dyDescent="0.3">
      <c r="A39" s="7" t="s">
        <v>29</v>
      </c>
      <c r="B39" s="14">
        <f>Table1[[#This Row],[resolution_date]]-Table1[[#This Row],[submission_date]]</f>
        <v>6.2157778124965262</v>
      </c>
      <c r="C39" s="14" t="str">
        <f>TEXT(Table1[[#This Row],[submission_date]],"ddd")</f>
        <v>Mon</v>
      </c>
      <c r="D39" s="14" t="str">
        <f>TEXT(Table1[[#This Row],[submission_date]],"mmm")</f>
        <v>Aug</v>
      </c>
      <c r="E39" s="15">
        <f>Table1[[#This Row],[Resolution Time]]*24</f>
        <v>149.17866749991663</v>
      </c>
    </row>
    <row r="40" spans="1:5" x14ac:dyDescent="0.3">
      <c r="A40" s="6" t="s">
        <v>16</v>
      </c>
      <c r="B40" s="12">
        <f>Table1[[#This Row],[resolution_date]]-Table1[[#This Row],[submission_date]]</f>
        <v>0.43254781250288943</v>
      </c>
      <c r="C40" s="12" t="str">
        <f>TEXT(Table1[[#This Row],[submission_date]],"ddd")</f>
        <v>Mon</v>
      </c>
      <c r="D40" s="12" t="str">
        <f>TEXT(Table1[[#This Row],[submission_date]],"mmm")</f>
        <v>Sep</v>
      </c>
      <c r="E40" s="13">
        <f>Table1[[#This Row],[Resolution Time]]*24</f>
        <v>10.381147500069346</v>
      </c>
    </row>
    <row r="41" spans="1:5" x14ac:dyDescent="0.3">
      <c r="A41" s="7" t="s">
        <v>16</v>
      </c>
      <c r="B41" s="14">
        <f>Table1[[#This Row],[resolution_date]]-Table1[[#This Row],[submission_date]]</f>
        <v>0.50985465278063202</v>
      </c>
      <c r="C41" s="14" t="str">
        <f>TEXT(Table1[[#This Row],[submission_date]],"ddd")</f>
        <v>Thu</v>
      </c>
      <c r="D41" s="14" t="str">
        <f>TEXT(Table1[[#This Row],[submission_date]],"mmm")</f>
        <v>Aug</v>
      </c>
      <c r="E41" s="15">
        <f>Table1[[#This Row],[Resolution Time]]*24</f>
        <v>12.236511666735169</v>
      </c>
    </row>
    <row r="42" spans="1:5" x14ac:dyDescent="0.3">
      <c r="A42" s="6" t="s">
        <v>16</v>
      </c>
      <c r="B42" s="12">
        <f>Table1[[#This Row],[resolution_date]]-Table1[[#This Row],[submission_date]]</f>
        <v>1.7151448148142663</v>
      </c>
      <c r="C42" s="12" t="str">
        <f>TEXT(Table1[[#This Row],[submission_date]],"ddd")</f>
        <v>Fri</v>
      </c>
      <c r="D42" s="12" t="str">
        <f>TEXT(Table1[[#This Row],[submission_date]],"mmm")</f>
        <v>Sep</v>
      </c>
      <c r="E42" s="13">
        <f>Table1[[#This Row],[Resolution Time]]*24</f>
        <v>41.163475555542391</v>
      </c>
    </row>
    <row r="43" spans="1:5" x14ac:dyDescent="0.3">
      <c r="A43" s="7" t="s">
        <v>29</v>
      </c>
      <c r="B43" s="14">
        <f>Table1[[#This Row],[resolution_date]]-Table1[[#This Row],[submission_date]]</f>
        <v>1.0389951620381908</v>
      </c>
      <c r="C43" s="14" t="str">
        <f>TEXT(Table1[[#This Row],[submission_date]],"ddd")</f>
        <v>Sat</v>
      </c>
      <c r="D43" s="14" t="str">
        <f>TEXT(Table1[[#This Row],[submission_date]],"mmm")</f>
        <v>Sep</v>
      </c>
      <c r="E43" s="15">
        <f>Table1[[#This Row],[Resolution Time]]*24</f>
        <v>24.935883888916578</v>
      </c>
    </row>
    <row r="44" spans="1:5" x14ac:dyDescent="0.3">
      <c r="A44" s="6" t="s">
        <v>29</v>
      </c>
      <c r="B44" s="12">
        <f>Table1[[#This Row],[resolution_date]]-Table1[[#This Row],[submission_date]]</f>
        <v>6.4291995023158961</v>
      </c>
      <c r="C44" s="12" t="str">
        <f>TEXT(Table1[[#This Row],[submission_date]],"ddd")</f>
        <v>Mon</v>
      </c>
      <c r="D44" s="12" t="str">
        <f>TEXT(Table1[[#This Row],[submission_date]],"mmm")</f>
        <v>Jul</v>
      </c>
      <c r="E44" s="13">
        <f>Table1[[#This Row],[Resolution Time]]*24</f>
        <v>154.30078805558151</v>
      </c>
    </row>
    <row r="45" spans="1:5" x14ac:dyDescent="0.3">
      <c r="A45" s="7" t="s">
        <v>115</v>
      </c>
      <c r="B45" s="14">
        <f>Table1[[#This Row],[resolution_date]]-Table1[[#This Row],[submission_date]]</f>
        <v>6.4023796294350177E-2</v>
      </c>
      <c r="C45" s="14" t="str">
        <f>TEXT(Table1[[#This Row],[submission_date]],"ddd")</f>
        <v>Wed</v>
      </c>
      <c r="D45" s="14" t="str">
        <f>TEXT(Table1[[#This Row],[submission_date]],"mmm")</f>
        <v>Jul</v>
      </c>
      <c r="E45" s="15">
        <f>Table1[[#This Row],[Resolution Time]]*24</f>
        <v>1.5365711110644042</v>
      </c>
    </row>
    <row r="46" spans="1:5" x14ac:dyDescent="0.3">
      <c r="A46" s="6" t="s">
        <v>11</v>
      </c>
      <c r="B46" s="12">
        <f>Table1[[#This Row],[resolution_date]]-Table1[[#This Row],[submission_date]]</f>
        <v>0.17212030092196073</v>
      </c>
      <c r="C46" s="12" t="str">
        <f>TEXT(Table1[[#This Row],[submission_date]],"ddd")</f>
        <v>Sun</v>
      </c>
      <c r="D46" s="12" t="str">
        <f>TEXT(Table1[[#This Row],[submission_date]],"mmm")</f>
        <v>Aug</v>
      </c>
      <c r="E46" s="13">
        <f>Table1[[#This Row],[Resolution Time]]*24</f>
        <v>4.1308872221270576</v>
      </c>
    </row>
    <row r="47" spans="1:5" x14ac:dyDescent="0.3">
      <c r="A47" s="7" t="s">
        <v>11</v>
      </c>
      <c r="B47" s="14">
        <f>Table1[[#This Row],[resolution_date]]-Table1[[#This Row],[submission_date]]</f>
        <v>0.47434335647994885</v>
      </c>
      <c r="C47" s="14" t="str">
        <f>TEXT(Table1[[#This Row],[submission_date]],"ddd")</f>
        <v>Sat</v>
      </c>
      <c r="D47" s="14" t="str">
        <f>TEXT(Table1[[#This Row],[submission_date]],"mmm")</f>
        <v>Jul</v>
      </c>
      <c r="E47" s="15">
        <f>Table1[[#This Row],[Resolution Time]]*24</f>
        <v>11.384240555518772</v>
      </c>
    </row>
    <row r="48" spans="1:5" x14ac:dyDescent="0.3">
      <c r="A48" s="6" t="s">
        <v>16</v>
      </c>
      <c r="B48" s="12">
        <f>Table1[[#This Row],[resolution_date]]-Table1[[#This Row],[submission_date]]</f>
        <v>1.9158922916612937</v>
      </c>
      <c r="C48" s="12" t="str">
        <f>TEXT(Table1[[#This Row],[submission_date]],"ddd")</f>
        <v>Sat</v>
      </c>
      <c r="D48" s="12" t="str">
        <f>TEXT(Table1[[#This Row],[submission_date]],"mmm")</f>
        <v>Aug</v>
      </c>
      <c r="E48" s="13">
        <f>Table1[[#This Row],[Resolution Time]]*24</f>
        <v>45.981414999871049</v>
      </c>
    </row>
    <row r="49" spans="1:5" x14ac:dyDescent="0.3">
      <c r="A49" s="7" t="s">
        <v>29</v>
      </c>
      <c r="B49" s="14">
        <f>Table1[[#This Row],[resolution_date]]-Table1[[#This Row],[submission_date]]</f>
        <v>4.8983654745388776</v>
      </c>
      <c r="C49" s="14" t="str">
        <f>TEXT(Table1[[#This Row],[submission_date]],"ddd")</f>
        <v>Sun</v>
      </c>
      <c r="D49" s="14" t="str">
        <f>TEXT(Table1[[#This Row],[submission_date]],"mmm")</f>
        <v>Jun</v>
      </c>
      <c r="E49" s="15">
        <f>Table1[[#This Row],[Resolution Time]]*24</f>
        <v>117.56077138893306</v>
      </c>
    </row>
    <row r="50" spans="1:5" x14ac:dyDescent="0.3">
      <c r="A50" s="6" t="s">
        <v>16</v>
      </c>
      <c r="B50" s="12">
        <f>Table1[[#This Row],[resolution_date]]-Table1[[#This Row],[submission_date]]</f>
        <v>0.51888037036405876</v>
      </c>
      <c r="C50" s="12" t="str">
        <f>TEXT(Table1[[#This Row],[submission_date]],"ddd")</f>
        <v>Thu</v>
      </c>
      <c r="D50" s="12" t="str">
        <f>TEXT(Table1[[#This Row],[submission_date]],"mmm")</f>
        <v>Jul</v>
      </c>
      <c r="E50" s="13">
        <f>Table1[[#This Row],[Resolution Time]]*24</f>
        <v>12.45312888873741</v>
      </c>
    </row>
    <row r="51" spans="1:5" x14ac:dyDescent="0.3">
      <c r="A51" s="7" t="s">
        <v>16</v>
      </c>
      <c r="B51" s="14">
        <f>Table1[[#This Row],[resolution_date]]-Table1[[#This Row],[submission_date]]</f>
        <v>1.1121135879584472</v>
      </c>
      <c r="C51" s="14" t="str">
        <f>TEXT(Table1[[#This Row],[submission_date]],"ddd")</f>
        <v>Sat</v>
      </c>
      <c r="D51" s="14" t="str">
        <f>TEXT(Table1[[#This Row],[submission_date]],"mmm")</f>
        <v>Aug</v>
      </c>
      <c r="E51" s="15">
        <f>Table1[[#This Row],[Resolution Time]]*24</f>
        <v>26.690726111002732</v>
      </c>
    </row>
    <row r="52" spans="1:5" x14ac:dyDescent="0.3">
      <c r="A52" s="6" t="s">
        <v>29</v>
      </c>
      <c r="B52" s="12">
        <f>Table1[[#This Row],[resolution_date]]-Table1[[#This Row],[submission_date]]</f>
        <v>4.616109988426615</v>
      </c>
      <c r="C52" s="12" t="str">
        <f>TEXT(Table1[[#This Row],[submission_date]],"ddd")</f>
        <v>Wed</v>
      </c>
      <c r="D52" s="12" t="str">
        <f>TEXT(Table1[[#This Row],[submission_date]],"mmm")</f>
        <v>Jul</v>
      </c>
      <c r="E52" s="13">
        <f>Table1[[#This Row],[Resolution Time]]*24</f>
        <v>110.78663972223876</v>
      </c>
    </row>
    <row r="53" spans="1:5" x14ac:dyDescent="0.3">
      <c r="A53" s="7" t="s">
        <v>29</v>
      </c>
      <c r="B53" s="14">
        <f>Table1[[#This Row],[resolution_date]]-Table1[[#This Row],[submission_date]]</f>
        <v>6.2315085879672552</v>
      </c>
      <c r="C53" s="14" t="str">
        <f>TEXT(Table1[[#This Row],[submission_date]],"ddd")</f>
        <v>Thu</v>
      </c>
      <c r="D53" s="14" t="str">
        <f>TEXT(Table1[[#This Row],[submission_date]],"mmm")</f>
        <v>Jul</v>
      </c>
      <c r="E53" s="15">
        <f>Table1[[#This Row],[Resolution Time]]*24</f>
        <v>149.55620611121412</v>
      </c>
    </row>
    <row r="54" spans="1:5" x14ac:dyDescent="0.3">
      <c r="A54" s="6" t="s">
        <v>16</v>
      </c>
      <c r="B54" s="12">
        <f>Table1[[#This Row],[resolution_date]]-Table1[[#This Row],[submission_date]]</f>
        <v>0.62912232638336718</v>
      </c>
      <c r="C54" s="12" t="str">
        <f>TEXT(Table1[[#This Row],[submission_date]],"ddd")</f>
        <v>Sun</v>
      </c>
      <c r="D54" s="12" t="str">
        <f>TEXT(Table1[[#This Row],[submission_date]],"mmm")</f>
        <v>Jun</v>
      </c>
      <c r="E54" s="13">
        <f>Table1[[#This Row],[Resolution Time]]*24</f>
        <v>15.098935833200812</v>
      </c>
    </row>
    <row r="55" spans="1:5" x14ac:dyDescent="0.3">
      <c r="A55" s="7" t="s">
        <v>16</v>
      </c>
      <c r="B55" s="14">
        <f>Table1[[#This Row],[resolution_date]]-Table1[[#This Row],[submission_date]]</f>
        <v>0.54988851852249354</v>
      </c>
      <c r="C55" s="14" t="str">
        <f>TEXT(Table1[[#This Row],[submission_date]],"ddd")</f>
        <v>Fri</v>
      </c>
      <c r="D55" s="14" t="str">
        <f>TEXT(Table1[[#This Row],[submission_date]],"mmm")</f>
        <v>Aug</v>
      </c>
      <c r="E55" s="15">
        <f>Table1[[#This Row],[Resolution Time]]*24</f>
        <v>13.197324444539845</v>
      </c>
    </row>
    <row r="56" spans="1:5" x14ac:dyDescent="0.3">
      <c r="A56" s="6" t="s">
        <v>11</v>
      </c>
      <c r="B56" s="12">
        <f>Table1[[#This Row],[resolution_date]]-Table1[[#This Row],[submission_date]]</f>
        <v>0.41878974537394242</v>
      </c>
      <c r="C56" s="12" t="str">
        <f>TEXT(Table1[[#This Row],[submission_date]],"ddd")</f>
        <v>Tue</v>
      </c>
      <c r="D56" s="12" t="str">
        <f>TEXT(Table1[[#This Row],[submission_date]],"mmm")</f>
        <v>Jul</v>
      </c>
      <c r="E56" s="13">
        <f>Table1[[#This Row],[Resolution Time]]*24</f>
        <v>10.050953888974618</v>
      </c>
    </row>
    <row r="57" spans="1:5" x14ac:dyDescent="0.3">
      <c r="A57" s="7" t="s">
        <v>16</v>
      </c>
      <c r="B57" s="14">
        <f>Table1[[#This Row],[resolution_date]]-Table1[[#This Row],[submission_date]]</f>
        <v>1.6951373032425181</v>
      </c>
      <c r="C57" s="14" t="str">
        <f>TEXT(Table1[[#This Row],[submission_date]],"ddd")</f>
        <v>Sat</v>
      </c>
      <c r="D57" s="14" t="str">
        <f>TEXT(Table1[[#This Row],[submission_date]],"mmm")</f>
        <v>Jun</v>
      </c>
      <c r="E57" s="15">
        <f>Table1[[#This Row],[Resolution Time]]*24</f>
        <v>40.683295277820434</v>
      </c>
    </row>
    <row r="58" spans="1:5" x14ac:dyDescent="0.3">
      <c r="A58" s="6" t="s">
        <v>16</v>
      </c>
      <c r="B58" s="12">
        <f>Table1[[#This Row],[resolution_date]]-Table1[[#This Row],[submission_date]]</f>
        <v>1.2752408564847428</v>
      </c>
      <c r="C58" s="12" t="str">
        <f>TEXT(Table1[[#This Row],[submission_date]],"ddd")</f>
        <v>Sat</v>
      </c>
      <c r="D58" s="12" t="str">
        <f>TEXT(Table1[[#This Row],[submission_date]],"mmm")</f>
        <v>Aug</v>
      </c>
      <c r="E58" s="13">
        <f>Table1[[#This Row],[Resolution Time]]*24</f>
        <v>30.605780555633828</v>
      </c>
    </row>
    <row r="59" spans="1:5" x14ac:dyDescent="0.3">
      <c r="A59" s="7" t="s">
        <v>29</v>
      </c>
      <c r="B59" s="14">
        <f>Table1[[#This Row],[resolution_date]]-Table1[[#This Row],[submission_date]]</f>
        <v>6.930126562496298</v>
      </c>
      <c r="C59" s="14" t="str">
        <f>TEXT(Table1[[#This Row],[submission_date]],"ddd")</f>
        <v>Tue</v>
      </c>
      <c r="D59" s="14" t="str">
        <f>TEXT(Table1[[#This Row],[submission_date]],"mmm")</f>
        <v>Jul</v>
      </c>
      <c r="E59" s="15">
        <f>Table1[[#This Row],[Resolution Time]]*24</f>
        <v>166.32303749991115</v>
      </c>
    </row>
    <row r="60" spans="1:5" x14ac:dyDescent="0.3">
      <c r="A60" s="6" t="s">
        <v>16</v>
      </c>
      <c r="B60" s="12">
        <f>Table1[[#This Row],[resolution_date]]-Table1[[#This Row],[submission_date]]</f>
        <v>1.7317859953691368</v>
      </c>
      <c r="C60" s="12" t="str">
        <f>TEXT(Table1[[#This Row],[submission_date]],"ddd")</f>
        <v>Wed</v>
      </c>
      <c r="D60" s="12" t="str">
        <f>TEXT(Table1[[#This Row],[submission_date]],"mmm")</f>
        <v>Aug</v>
      </c>
      <c r="E60" s="13">
        <f>Table1[[#This Row],[Resolution Time]]*24</f>
        <v>41.562863888859283</v>
      </c>
    </row>
    <row r="61" spans="1:5" x14ac:dyDescent="0.3">
      <c r="A61" s="7" t="s">
        <v>16</v>
      </c>
      <c r="B61" s="14">
        <f>Table1[[#This Row],[resolution_date]]-Table1[[#This Row],[submission_date]]</f>
        <v>1.319624652780476</v>
      </c>
      <c r="C61" s="14" t="str">
        <f>TEXT(Table1[[#This Row],[submission_date]],"ddd")</f>
        <v>Thu</v>
      </c>
      <c r="D61" s="14" t="str">
        <f>TEXT(Table1[[#This Row],[submission_date]],"mmm")</f>
        <v>Jun</v>
      </c>
      <c r="E61" s="15">
        <f>Table1[[#This Row],[Resolution Time]]*24</f>
        <v>31.670991666731425</v>
      </c>
    </row>
    <row r="62" spans="1:5" x14ac:dyDescent="0.3">
      <c r="A62" s="6" t="s">
        <v>16</v>
      </c>
      <c r="B62" s="12">
        <f>Table1[[#This Row],[resolution_date]]-Table1[[#This Row],[submission_date]]</f>
        <v>1.0306974421255291</v>
      </c>
      <c r="C62" s="12" t="str">
        <f>TEXT(Table1[[#This Row],[submission_date]],"ddd")</f>
        <v>Wed</v>
      </c>
      <c r="D62" s="12" t="str">
        <f>TEXT(Table1[[#This Row],[submission_date]],"mmm")</f>
        <v>Aug</v>
      </c>
      <c r="E62" s="13">
        <f>Table1[[#This Row],[Resolution Time]]*24</f>
        <v>24.736738611012697</v>
      </c>
    </row>
    <row r="63" spans="1:5" x14ac:dyDescent="0.3">
      <c r="A63" s="7" t="s">
        <v>16</v>
      </c>
      <c r="B63" s="14">
        <f>Table1[[#This Row],[resolution_date]]-Table1[[#This Row],[submission_date]]</f>
        <v>1.5721168981472147</v>
      </c>
      <c r="C63" s="14" t="str">
        <f>TEXT(Table1[[#This Row],[submission_date]],"ddd")</f>
        <v>Wed</v>
      </c>
      <c r="D63" s="14" t="str">
        <f>TEXT(Table1[[#This Row],[submission_date]],"mmm")</f>
        <v>Sep</v>
      </c>
      <c r="E63" s="15">
        <f>Table1[[#This Row],[Resolution Time]]*24</f>
        <v>37.730805555533152</v>
      </c>
    </row>
    <row r="64" spans="1:5" x14ac:dyDescent="0.3">
      <c r="A64" s="6" t="s">
        <v>16</v>
      </c>
      <c r="B64" s="12">
        <f>Table1[[#This Row],[resolution_date]]-Table1[[#This Row],[submission_date]]</f>
        <v>0.98752784722455544</v>
      </c>
      <c r="C64" s="12" t="str">
        <f>TEXT(Table1[[#This Row],[submission_date]],"ddd")</f>
        <v>Tue</v>
      </c>
      <c r="D64" s="12" t="str">
        <f>TEXT(Table1[[#This Row],[submission_date]],"mmm")</f>
        <v>Jul</v>
      </c>
      <c r="E64" s="13">
        <f>Table1[[#This Row],[Resolution Time]]*24</f>
        <v>23.700668333389331</v>
      </c>
    </row>
    <row r="65" spans="1:5" x14ac:dyDescent="0.3">
      <c r="A65" s="7" t="s">
        <v>11</v>
      </c>
      <c r="B65" s="14">
        <f>Table1[[#This Row],[resolution_date]]-Table1[[#This Row],[submission_date]]</f>
        <v>0.33226525463396683</v>
      </c>
      <c r="C65" s="14" t="str">
        <f>TEXT(Table1[[#This Row],[submission_date]],"ddd")</f>
        <v>Sat</v>
      </c>
      <c r="D65" s="14" t="str">
        <f>TEXT(Table1[[#This Row],[submission_date]],"mmm")</f>
        <v>Aug</v>
      </c>
      <c r="E65" s="15">
        <f>Table1[[#This Row],[Resolution Time]]*24</f>
        <v>7.974366111215204</v>
      </c>
    </row>
    <row r="66" spans="1:5" x14ac:dyDescent="0.3">
      <c r="A66" s="6" t="s">
        <v>16</v>
      </c>
      <c r="B66" s="12">
        <f>Table1[[#This Row],[resolution_date]]-Table1[[#This Row],[submission_date]]</f>
        <v>0.33591586805414408</v>
      </c>
      <c r="C66" s="12" t="str">
        <f>TEXT(Table1[[#This Row],[submission_date]],"ddd")</f>
        <v>Wed</v>
      </c>
      <c r="D66" s="12" t="str">
        <f>TEXT(Table1[[#This Row],[submission_date]],"mmm")</f>
        <v>Sep</v>
      </c>
      <c r="E66" s="13">
        <f>Table1[[#This Row],[Resolution Time]]*24</f>
        <v>8.061980833299458</v>
      </c>
    </row>
    <row r="67" spans="1:5" x14ac:dyDescent="0.3">
      <c r="A67" s="7" t="s">
        <v>16</v>
      </c>
      <c r="B67" s="14">
        <f>Table1[[#This Row],[resolution_date]]-Table1[[#This Row],[submission_date]]</f>
        <v>0.61412750000454253</v>
      </c>
      <c r="C67" s="14" t="str">
        <f>TEXT(Table1[[#This Row],[submission_date]],"ddd")</f>
        <v>Sun</v>
      </c>
      <c r="D67" s="14" t="str">
        <f>TEXT(Table1[[#This Row],[submission_date]],"mmm")</f>
        <v>Aug</v>
      </c>
      <c r="E67" s="15">
        <f>Table1[[#This Row],[Resolution Time]]*24</f>
        <v>14.739060000109021</v>
      </c>
    </row>
    <row r="68" spans="1:5" x14ac:dyDescent="0.3">
      <c r="A68" s="6" t="s">
        <v>29</v>
      </c>
      <c r="B68" s="12">
        <f>Table1[[#This Row],[resolution_date]]-Table1[[#This Row],[submission_date]]</f>
        <v>5.571883078700921</v>
      </c>
      <c r="C68" s="12" t="str">
        <f>TEXT(Table1[[#This Row],[submission_date]],"ddd")</f>
        <v>Fri</v>
      </c>
      <c r="D68" s="12" t="str">
        <f>TEXT(Table1[[#This Row],[submission_date]],"mmm")</f>
        <v>Jul</v>
      </c>
      <c r="E68" s="13">
        <f>Table1[[#This Row],[Resolution Time]]*24</f>
        <v>133.7251938888221</v>
      </c>
    </row>
    <row r="69" spans="1:5" x14ac:dyDescent="0.3">
      <c r="A69" s="7" t="s">
        <v>16</v>
      </c>
      <c r="B69" s="14">
        <f>Table1[[#This Row],[resolution_date]]-Table1[[#This Row],[submission_date]]</f>
        <v>1.447701793986198</v>
      </c>
      <c r="C69" s="14" t="str">
        <f>TEXT(Table1[[#This Row],[submission_date]],"ddd")</f>
        <v>Sun</v>
      </c>
      <c r="D69" s="14" t="str">
        <f>TEXT(Table1[[#This Row],[submission_date]],"mmm")</f>
        <v>Jul</v>
      </c>
      <c r="E69" s="15">
        <f>Table1[[#This Row],[Resolution Time]]*24</f>
        <v>34.744843055668753</v>
      </c>
    </row>
    <row r="70" spans="1:5" x14ac:dyDescent="0.3">
      <c r="A70" s="6" t="s">
        <v>29</v>
      </c>
      <c r="B70" s="12">
        <f>Table1[[#This Row],[resolution_date]]-Table1[[#This Row],[submission_date]]</f>
        <v>3.270947418983269</v>
      </c>
      <c r="C70" s="12" t="str">
        <f>TEXT(Table1[[#This Row],[submission_date]],"ddd")</f>
        <v>Mon</v>
      </c>
      <c r="D70" s="12" t="str">
        <f>TEXT(Table1[[#This Row],[submission_date]],"mmm")</f>
        <v>Aug</v>
      </c>
      <c r="E70" s="13">
        <f>Table1[[#This Row],[Resolution Time]]*24</f>
        <v>78.502738055598456</v>
      </c>
    </row>
    <row r="71" spans="1:5" x14ac:dyDescent="0.3">
      <c r="A71" s="7" t="s">
        <v>16</v>
      </c>
      <c r="B71" s="14">
        <f>Table1[[#This Row],[resolution_date]]-Table1[[#This Row],[submission_date]]</f>
        <v>1.0045384837940219</v>
      </c>
      <c r="C71" s="14" t="str">
        <f>TEXT(Table1[[#This Row],[submission_date]],"ddd")</f>
        <v>Sun</v>
      </c>
      <c r="D71" s="14" t="str">
        <f>TEXT(Table1[[#This Row],[submission_date]],"mmm")</f>
        <v>Sep</v>
      </c>
      <c r="E71" s="15">
        <f>Table1[[#This Row],[Resolution Time]]*24</f>
        <v>24.108923611056525</v>
      </c>
    </row>
    <row r="72" spans="1:5" x14ac:dyDescent="0.3">
      <c r="A72" s="6" t="s">
        <v>115</v>
      </c>
      <c r="B72" s="12">
        <f>Table1[[#This Row],[resolution_date]]-Table1[[#This Row],[submission_date]]</f>
        <v>0.13406234953436069</v>
      </c>
      <c r="C72" s="12" t="str">
        <f>TEXT(Table1[[#This Row],[submission_date]],"ddd")</f>
        <v>Mon</v>
      </c>
      <c r="D72" s="12" t="str">
        <f>TEXT(Table1[[#This Row],[submission_date]],"mmm")</f>
        <v>Jul</v>
      </c>
      <c r="E72" s="13">
        <f>Table1[[#This Row],[Resolution Time]]*24</f>
        <v>3.2174963888246566</v>
      </c>
    </row>
    <row r="73" spans="1:5" x14ac:dyDescent="0.3">
      <c r="A73" s="7" t="s">
        <v>16</v>
      </c>
      <c r="B73" s="14">
        <f>Table1[[#This Row],[resolution_date]]-Table1[[#This Row],[submission_date]]</f>
        <v>0.83540611110947793</v>
      </c>
      <c r="C73" s="14" t="str">
        <f>TEXT(Table1[[#This Row],[submission_date]],"ddd")</f>
        <v>Thu</v>
      </c>
      <c r="D73" s="14" t="str">
        <f>TEXT(Table1[[#This Row],[submission_date]],"mmm")</f>
        <v>Jul</v>
      </c>
      <c r="E73" s="15">
        <f>Table1[[#This Row],[Resolution Time]]*24</f>
        <v>20.04974666662747</v>
      </c>
    </row>
    <row r="74" spans="1:5" x14ac:dyDescent="0.3">
      <c r="A74" s="6" t="s">
        <v>16</v>
      </c>
      <c r="B74" s="12">
        <f>Table1[[#This Row],[resolution_date]]-Table1[[#This Row],[submission_date]]</f>
        <v>1.5764710763905896</v>
      </c>
      <c r="C74" s="12" t="str">
        <f>TEXT(Table1[[#This Row],[submission_date]],"ddd")</f>
        <v>Wed</v>
      </c>
      <c r="D74" s="12" t="str">
        <f>TEXT(Table1[[#This Row],[submission_date]],"mmm")</f>
        <v>Jun</v>
      </c>
      <c r="E74" s="13">
        <f>Table1[[#This Row],[Resolution Time]]*24</f>
        <v>37.83530583337415</v>
      </c>
    </row>
    <row r="75" spans="1:5" x14ac:dyDescent="0.3">
      <c r="A75" s="7" t="s">
        <v>11</v>
      </c>
      <c r="B75" s="14">
        <f>Table1[[#This Row],[resolution_date]]-Table1[[#This Row],[submission_date]]</f>
        <v>0.33790782407595543</v>
      </c>
      <c r="C75" s="14" t="str">
        <f>TEXT(Table1[[#This Row],[submission_date]],"ddd")</f>
        <v>Wed</v>
      </c>
      <c r="D75" s="14" t="str">
        <f>TEXT(Table1[[#This Row],[submission_date]],"mmm")</f>
        <v>Sep</v>
      </c>
      <c r="E75" s="15">
        <f>Table1[[#This Row],[Resolution Time]]*24</f>
        <v>8.1097877778229304</v>
      </c>
    </row>
    <row r="76" spans="1:5" x14ac:dyDescent="0.3">
      <c r="A76" s="6" t="s">
        <v>29</v>
      </c>
      <c r="B76" s="12">
        <f>Table1[[#This Row],[resolution_date]]-Table1[[#This Row],[submission_date]]</f>
        <v>6.0012716898199869</v>
      </c>
      <c r="C76" s="12" t="str">
        <f>TEXT(Table1[[#This Row],[submission_date]],"ddd")</f>
        <v>Fri</v>
      </c>
      <c r="D76" s="12" t="str">
        <f>TEXT(Table1[[#This Row],[submission_date]],"mmm")</f>
        <v>Aug</v>
      </c>
      <c r="E76" s="13">
        <f>Table1[[#This Row],[Resolution Time]]*24</f>
        <v>144.03052055567969</v>
      </c>
    </row>
    <row r="77" spans="1:5" x14ac:dyDescent="0.3">
      <c r="A77" s="7" t="s">
        <v>11</v>
      </c>
      <c r="B77" s="14">
        <f>Table1[[#This Row],[resolution_date]]-Table1[[#This Row],[submission_date]]</f>
        <v>0.32828305555449333</v>
      </c>
      <c r="C77" s="14" t="str">
        <f>TEXT(Table1[[#This Row],[submission_date]],"ddd")</f>
        <v>Thu</v>
      </c>
      <c r="D77" s="14" t="str">
        <f>TEXT(Table1[[#This Row],[submission_date]],"mmm")</f>
        <v>Aug</v>
      </c>
      <c r="E77" s="15">
        <f>Table1[[#This Row],[Resolution Time]]*24</f>
        <v>7.8787933333078399</v>
      </c>
    </row>
    <row r="78" spans="1:5" x14ac:dyDescent="0.3">
      <c r="A78" s="6" t="s">
        <v>11</v>
      </c>
      <c r="B78" s="12">
        <f>Table1[[#This Row],[resolution_date]]-Table1[[#This Row],[submission_date]]</f>
        <v>0.1526500925901928</v>
      </c>
      <c r="C78" s="12" t="str">
        <f>TEXT(Table1[[#This Row],[submission_date]],"ddd")</f>
        <v>Sun</v>
      </c>
      <c r="D78" s="12" t="str">
        <f>TEXT(Table1[[#This Row],[submission_date]],"mmm")</f>
        <v>Jul</v>
      </c>
      <c r="E78" s="13">
        <f>Table1[[#This Row],[Resolution Time]]*24</f>
        <v>3.6636022221646272</v>
      </c>
    </row>
    <row r="79" spans="1:5" x14ac:dyDescent="0.3">
      <c r="A79" s="7" t="s">
        <v>11</v>
      </c>
      <c r="B79" s="14">
        <f>Table1[[#This Row],[resolution_date]]-Table1[[#This Row],[submission_date]]</f>
        <v>0.29004937500576489</v>
      </c>
      <c r="C79" s="14" t="str">
        <f>TEXT(Table1[[#This Row],[submission_date]],"ddd")</f>
        <v>Thu</v>
      </c>
      <c r="D79" s="14" t="str">
        <f>TEXT(Table1[[#This Row],[submission_date]],"mmm")</f>
        <v>Jul</v>
      </c>
      <c r="E79" s="15">
        <f>Table1[[#This Row],[Resolution Time]]*24</f>
        <v>6.9611850001383573</v>
      </c>
    </row>
    <row r="80" spans="1:5" x14ac:dyDescent="0.3">
      <c r="A80" s="6" t="s">
        <v>29</v>
      </c>
      <c r="B80" s="12">
        <f>Table1[[#This Row],[resolution_date]]-Table1[[#This Row],[submission_date]]</f>
        <v>2.6462853935154271</v>
      </c>
      <c r="C80" s="12" t="str">
        <f>TEXT(Table1[[#This Row],[submission_date]],"ddd")</f>
        <v>Wed</v>
      </c>
      <c r="D80" s="12" t="str">
        <f>TEXT(Table1[[#This Row],[submission_date]],"mmm")</f>
        <v>Jul</v>
      </c>
      <c r="E80" s="13">
        <f>Table1[[#This Row],[Resolution Time]]*24</f>
        <v>63.510849444370251</v>
      </c>
    </row>
    <row r="81" spans="1:5" x14ac:dyDescent="0.3">
      <c r="A81" s="7" t="s">
        <v>29</v>
      </c>
      <c r="B81" s="14">
        <f>Table1[[#This Row],[resolution_date]]-Table1[[#This Row],[submission_date]]</f>
        <v>3.9651646064812667</v>
      </c>
      <c r="C81" s="14" t="str">
        <f>TEXT(Table1[[#This Row],[submission_date]],"ddd")</f>
        <v>Fri</v>
      </c>
      <c r="D81" s="14" t="str">
        <f>TEXT(Table1[[#This Row],[submission_date]],"mmm")</f>
        <v>Jun</v>
      </c>
      <c r="E81" s="15">
        <f>Table1[[#This Row],[Resolution Time]]*24</f>
        <v>95.1639505555504</v>
      </c>
    </row>
    <row r="82" spans="1:5" x14ac:dyDescent="0.3">
      <c r="A82" s="6" t="s">
        <v>29</v>
      </c>
      <c r="B82" s="12">
        <f>Table1[[#This Row],[resolution_date]]-Table1[[#This Row],[submission_date]]</f>
        <v>6.2424024189822376</v>
      </c>
      <c r="C82" s="12" t="str">
        <f>TEXT(Table1[[#This Row],[submission_date]],"ddd")</f>
        <v>Thu</v>
      </c>
      <c r="D82" s="12" t="str">
        <f>TEXT(Table1[[#This Row],[submission_date]],"mmm")</f>
        <v>Jun</v>
      </c>
      <c r="E82" s="13">
        <f>Table1[[#This Row],[Resolution Time]]*24</f>
        <v>149.8176580555737</v>
      </c>
    </row>
    <row r="83" spans="1:5" x14ac:dyDescent="0.3">
      <c r="A83" s="7" t="s">
        <v>29</v>
      </c>
      <c r="B83" s="14">
        <f>Table1[[#This Row],[resolution_date]]-Table1[[#This Row],[submission_date]]</f>
        <v>4.3818595370394178</v>
      </c>
      <c r="C83" s="14" t="str">
        <f>TEXT(Table1[[#This Row],[submission_date]],"ddd")</f>
        <v>Fri</v>
      </c>
      <c r="D83" s="14" t="str">
        <f>TEXT(Table1[[#This Row],[submission_date]],"mmm")</f>
        <v>Jun</v>
      </c>
      <c r="E83" s="15">
        <f>Table1[[#This Row],[Resolution Time]]*24</f>
        <v>105.16462888894603</v>
      </c>
    </row>
    <row r="84" spans="1:5" x14ac:dyDescent="0.3">
      <c r="A84" s="6" t="s">
        <v>16</v>
      </c>
      <c r="B84" s="12">
        <f>Table1[[#This Row],[resolution_date]]-Table1[[#This Row],[submission_date]]</f>
        <v>1.8776677083296818</v>
      </c>
      <c r="C84" s="12" t="str">
        <f>TEXT(Table1[[#This Row],[submission_date]],"ddd")</f>
        <v>Sun</v>
      </c>
      <c r="D84" s="12" t="str">
        <f>TEXT(Table1[[#This Row],[submission_date]],"mmm")</f>
        <v>Aug</v>
      </c>
      <c r="E84" s="13">
        <f>Table1[[#This Row],[Resolution Time]]*24</f>
        <v>45.064024999912363</v>
      </c>
    </row>
    <row r="85" spans="1:5" x14ac:dyDescent="0.3">
      <c r="A85" s="7" t="s">
        <v>29</v>
      </c>
      <c r="B85" s="14">
        <f>Table1[[#This Row],[resolution_date]]-Table1[[#This Row],[submission_date]]</f>
        <v>2.4840685995368403</v>
      </c>
      <c r="C85" s="14" t="str">
        <f>TEXT(Table1[[#This Row],[submission_date]],"ddd")</f>
        <v>Tue</v>
      </c>
      <c r="D85" s="14" t="str">
        <f>TEXT(Table1[[#This Row],[submission_date]],"mmm")</f>
        <v>Jul</v>
      </c>
      <c r="E85" s="15">
        <f>Table1[[#This Row],[Resolution Time]]*24</f>
        <v>59.617646388884168</v>
      </c>
    </row>
    <row r="86" spans="1:5" x14ac:dyDescent="0.3">
      <c r="A86" s="6" t="s">
        <v>29</v>
      </c>
      <c r="B86" s="12">
        <f>Table1[[#This Row],[resolution_date]]-Table1[[#This Row],[submission_date]]</f>
        <v>4.5914260532445041</v>
      </c>
      <c r="C86" s="12" t="str">
        <f>TEXT(Table1[[#This Row],[submission_date]],"ddd")</f>
        <v>Sun</v>
      </c>
      <c r="D86" s="12" t="str">
        <f>TEXT(Table1[[#This Row],[submission_date]],"mmm")</f>
        <v>Jul</v>
      </c>
      <c r="E86" s="13">
        <f>Table1[[#This Row],[Resolution Time]]*24</f>
        <v>110.1942252778681</v>
      </c>
    </row>
    <row r="87" spans="1:5" x14ac:dyDescent="0.3">
      <c r="A87" s="7" t="s">
        <v>11</v>
      </c>
      <c r="B87" s="14">
        <f>Table1[[#This Row],[resolution_date]]-Table1[[#This Row],[submission_date]]</f>
        <v>0.364311956014717</v>
      </c>
      <c r="C87" s="14" t="str">
        <f>TEXT(Table1[[#This Row],[submission_date]],"ddd")</f>
        <v>Wed</v>
      </c>
      <c r="D87" s="14" t="str">
        <f>TEXT(Table1[[#This Row],[submission_date]],"mmm")</f>
        <v>Jul</v>
      </c>
      <c r="E87" s="15">
        <f>Table1[[#This Row],[Resolution Time]]*24</f>
        <v>8.7434869443532079</v>
      </c>
    </row>
    <row r="88" spans="1:5" x14ac:dyDescent="0.3">
      <c r="A88" s="6" t="s">
        <v>16</v>
      </c>
      <c r="B88" s="12">
        <f>Table1[[#This Row],[resolution_date]]-Table1[[#This Row],[submission_date]]</f>
        <v>1.471196574078931</v>
      </c>
      <c r="C88" s="12" t="str">
        <f>TEXT(Table1[[#This Row],[submission_date]],"ddd")</f>
        <v>Sat</v>
      </c>
      <c r="D88" s="12" t="str">
        <f>TEXT(Table1[[#This Row],[submission_date]],"mmm")</f>
        <v>Aug</v>
      </c>
      <c r="E88" s="13">
        <f>Table1[[#This Row],[Resolution Time]]*24</f>
        <v>35.308717777894344</v>
      </c>
    </row>
    <row r="89" spans="1:5" x14ac:dyDescent="0.3">
      <c r="A89" s="7" t="s">
        <v>16</v>
      </c>
      <c r="B89" s="14">
        <f>Table1[[#This Row],[resolution_date]]-Table1[[#This Row],[submission_date]]</f>
        <v>0.83378799768979661</v>
      </c>
      <c r="C89" s="14" t="str">
        <f>TEXT(Table1[[#This Row],[submission_date]],"ddd")</f>
        <v>Thu</v>
      </c>
      <c r="D89" s="14" t="str">
        <f>TEXT(Table1[[#This Row],[submission_date]],"mmm")</f>
        <v>Jul</v>
      </c>
      <c r="E89" s="15">
        <f>Table1[[#This Row],[Resolution Time]]*24</f>
        <v>20.010911944555119</v>
      </c>
    </row>
    <row r="90" spans="1:5" x14ac:dyDescent="0.3">
      <c r="A90" s="6" t="s">
        <v>16</v>
      </c>
      <c r="B90" s="12">
        <f>Table1[[#This Row],[resolution_date]]-Table1[[#This Row],[submission_date]]</f>
        <v>1.3147969328711042</v>
      </c>
      <c r="C90" s="12" t="str">
        <f>TEXT(Table1[[#This Row],[submission_date]],"ddd")</f>
        <v>Fri</v>
      </c>
      <c r="D90" s="12" t="str">
        <f>TEXT(Table1[[#This Row],[submission_date]],"mmm")</f>
        <v>Sep</v>
      </c>
      <c r="E90" s="13">
        <f>Table1[[#This Row],[Resolution Time]]*24</f>
        <v>31.555126388906501</v>
      </c>
    </row>
    <row r="91" spans="1:5" x14ac:dyDescent="0.3">
      <c r="A91" s="7" t="s">
        <v>29</v>
      </c>
      <c r="B91" s="14">
        <f>Table1[[#This Row],[resolution_date]]-Table1[[#This Row],[submission_date]]</f>
        <v>6.042198611110507</v>
      </c>
      <c r="C91" s="14" t="str">
        <f>TEXT(Table1[[#This Row],[submission_date]],"ddd")</f>
        <v>Tue</v>
      </c>
      <c r="D91" s="14" t="str">
        <f>TEXT(Table1[[#This Row],[submission_date]],"mmm")</f>
        <v>Sep</v>
      </c>
      <c r="E91" s="15">
        <f>Table1[[#This Row],[Resolution Time]]*24</f>
        <v>145.01276666665217</v>
      </c>
    </row>
    <row r="92" spans="1:5" x14ac:dyDescent="0.3">
      <c r="A92" s="6" t="s">
        <v>16</v>
      </c>
      <c r="B92" s="12">
        <f>Table1[[#This Row],[resolution_date]]-Table1[[#This Row],[submission_date]]</f>
        <v>0.7623043171261088</v>
      </c>
      <c r="C92" s="12" t="str">
        <f>TEXT(Table1[[#This Row],[submission_date]],"ddd")</f>
        <v>Sat</v>
      </c>
      <c r="D92" s="12" t="str">
        <f>TEXT(Table1[[#This Row],[submission_date]],"mmm")</f>
        <v>Jul</v>
      </c>
      <c r="E92" s="13">
        <f>Table1[[#This Row],[Resolution Time]]*24</f>
        <v>18.295303611026611</v>
      </c>
    </row>
    <row r="93" spans="1:5" x14ac:dyDescent="0.3">
      <c r="A93" s="7" t="s">
        <v>29</v>
      </c>
      <c r="B93" s="14">
        <f>Table1[[#This Row],[resolution_date]]-Table1[[#This Row],[submission_date]]</f>
        <v>6.2724228819424752</v>
      </c>
      <c r="C93" s="14" t="str">
        <f>TEXT(Table1[[#This Row],[submission_date]],"ddd")</f>
        <v>Wed</v>
      </c>
      <c r="D93" s="14" t="str">
        <f>TEXT(Table1[[#This Row],[submission_date]],"mmm")</f>
        <v>Aug</v>
      </c>
      <c r="E93" s="15">
        <f>Table1[[#This Row],[Resolution Time]]*24</f>
        <v>150.53814916661941</v>
      </c>
    </row>
    <row r="94" spans="1:5" x14ac:dyDescent="0.3">
      <c r="A94" s="6" t="s">
        <v>16</v>
      </c>
      <c r="B94" s="12">
        <f>Table1[[#This Row],[resolution_date]]-Table1[[#This Row],[submission_date]]</f>
        <v>1.932957974539022</v>
      </c>
      <c r="C94" s="12" t="str">
        <f>TEXT(Table1[[#This Row],[submission_date]],"ddd")</f>
        <v>Tue</v>
      </c>
      <c r="D94" s="12" t="str">
        <f>TEXT(Table1[[#This Row],[submission_date]],"mmm")</f>
        <v>Jun</v>
      </c>
      <c r="E94" s="13">
        <f>Table1[[#This Row],[Resolution Time]]*24</f>
        <v>46.390991388936527</v>
      </c>
    </row>
    <row r="95" spans="1:5" x14ac:dyDescent="0.3">
      <c r="A95" s="7" t="s">
        <v>29</v>
      </c>
      <c r="B95" s="14">
        <f>Table1[[#This Row],[resolution_date]]-Table1[[#This Row],[submission_date]]</f>
        <v>3.4035712268523639</v>
      </c>
      <c r="C95" s="14" t="str">
        <f>TEXT(Table1[[#This Row],[submission_date]],"ddd")</f>
        <v>Wed</v>
      </c>
      <c r="D95" s="14" t="str">
        <f>TEXT(Table1[[#This Row],[submission_date]],"mmm")</f>
        <v>Jun</v>
      </c>
      <c r="E95" s="15">
        <f>Table1[[#This Row],[Resolution Time]]*24</f>
        <v>81.685709444456734</v>
      </c>
    </row>
    <row r="96" spans="1:5" x14ac:dyDescent="0.3">
      <c r="A96" s="6" t="s">
        <v>29</v>
      </c>
      <c r="B96" s="12">
        <f>Table1[[#This Row],[resolution_date]]-Table1[[#This Row],[submission_date]]</f>
        <v>4.4003856828712742</v>
      </c>
      <c r="C96" s="12" t="str">
        <f>TEXT(Table1[[#This Row],[submission_date]],"ddd")</f>
        <v>Fri</v>
      </c>
      <c r="D96" s="12" t="str">
        <f>TEXT(Table1[[#This Row],[submission_date]],"mmm")</f>
        <v>Jul</v>
      </c>
      <c r="E96" s="13">
        <f>Table1[[#This Row],[Resolution Time]]*24</f>
        <v>105.60925638891058</v>
      </c>
    </row>
    <row r="97" spans="1:5" x14ac:dyDescent="0.3">
      <c r="A97" s="7" t="s">
        <v>16</v>
      </c>
      <c r="B97" s="14">
        <f>Table1[[#This Row],[resolution_date]]-Table1[[#This Row],[submission_date]]</f>
        <v>1.1679592245345702</v>
      </c>
      <c r="C97" s="14" t="str">
        <f>TEXT(Table1[[#This Row],[submission_date]],"ddd")</f>
        <v>Fri</v>
      </c>
      <c r="D97" s="14" t="str">
        <f>TEXT(Table1[[#This Row],[submission_date]],"mmm")</f>
        <v>Jul</v>
      </c>
      <c r="E97" s="15">
        <f>Table1[[#This Row],[Resolution Time]]*24</f>
        <v>28.031021388829686</v>
      </c>
    </row>
    <row r="98" spans="1:5" x14ac:dyDescent="0.3">
      <c r="A98" s="6" t="s">
        <v>29</v>
      </c>
      <c r="B98" s="12">
        <f>Table1[[#This Row],[resolution_date]]-Table1[[#This Row],[submission_date]]</f>
        <v>1.8226246759295464</v>
      </c>
      <c r="C98" s="12" t="str">
        <f>TEXT(Table1[[#This Row],[submission_date]],"ddd")</f>
        <v>Tue</v>
      </c>
      <c r="D98" s="12" t="str">
        <f>TEXT(Table1[[#This Row],[submission_date]],"mmm")</f>
        <v>Aug</v>
      </c>
      <c r="E98" s="13">
        <f>Table1[[#This Row],[Resolution Time]]*24</f>
        <v>43.742992222309113</v>
      </c>
    </row>
    <row r="99" spans="1:5" x14ac:dyDescent="0.3">
      <c r="A99" s="7" t="s">
        <v>29</v>
      </c>
      <c r="B99" s="14">
        <f>Table1[[#This Row],[resolution_date]]-Table1[[#This Row],[submission_date]]</f>
        <v>6.6754545717558358</v>
      </c>
      <c r="C99" s="14" t="str">
        <f>TEXT(Table1[[#This Row],[submission_date]],"ddd")</f>
        <v>Fri</v>
      </c>
      <c r="D99" s="14" t="str">
        <f>TEXT(Table1[[#This Row],[submission_date]],"mmm")</f>
        <v>Jul</v>
      </c>
      <c r="E99" s="15">
        <f>Table1[[#This Row],[Resolution Time]]*24</f>
        <v>160.21090972214006</v>
      </c>
    </row>
    <row r="100" spans="1:5" x14ac:dyDescent="0.3">
      <c r="A100" s="6" t="s">
        <v>11</v>
      </c>
      <c r="B100" s="12">
        <f>Table1[[#This Row],[resolution_date]]-Table1[[#This Row],[submission_date]]</f>
        <v>0.12756943287240574</v>
      </c>
      <c r="C100" s="12" t="str">
        <f>TEXT(Table1[[#This Row],[submission_date]],"ddd")</f>
        <v>Sun</v>
      </c>
      <c r="D100" s="12" t="str">
        <f>TEXT(Table1[[#This Row],[submission_date]],"mmm")</f>
        <v>Sep</v>
      </c>
      <c r="E100" s="13">
        <f>Table1[[#This Row],[Resolution Time]]*24</f>
        <v>3.0616663889377378</v>
      </c>
    </row>
    <row r="101" spans="1:5" x14ac:dyDescent="0.3">
      <c r="A101" s="7" t="s">
        <v>16</v>
      </c>
      <c r="B101" s="14">
        <f>Table1[[#This Row],[resolution_date]]-Table1[[#This Row],[submission_date]]</f>
        <v>0.36713880787283415</v>
      </c>
      <c r="C101" s="14" t="str">
        <f>TEXT(Table1[[#This Row],[submission_date]],"ddd")</f>
        <v>Thu</v>
      </c>
      <c r="D101" s="14" t="str">
        <f>TEXT(Table1[[#This Row],[submission_date]],"mmm")</f>
        <v>Jul</v>
      </c>
      <c r="E101" s="15">
        <f>Table1[[#This Row],[Resolution Time]]*24</f>
        <v>8.8113313889480196</v>
      </c>
    </row>
    <row r="102" spans="1:5" x14ac:dyDescent="0.3">
      <c r="A102" s="6" t="s">
        <v>115</v>
      </c>
      <c r="B102" s="12">
        <f>Table1[[#This Row],[resolution_date]]-Table1[[#This Row],[submission_date]]</f>
        <v>8.6188703702646308E-2</v>
      </c>
      <c r="C102" s="12" t="str">
        <f>TEXT(Table1[[#This Row],[submission_date]],"ddd")</f>
        <v>Sun</v>
      </c>
      <c r="D102" s="12" t="str">
        <f>TEXT(Table1[[#This Row],[submission_date]],"mmm")</f>
        <v>Aug</v>
      </c>
      <c r="E102" s="13">
        <f>Table1[[#This Row],[Resolution Time]]*24</f>
        <v>2.0685288888635114</v>
      </c>
    </row>
    <row r="103" spans="1:5" x14ac:dyDescent="0.3">
      <c r="A103" s="7" t="s">
        <v>16</v>
      </c>
      <c r="B103" s="14">
        <f>Table1[[#This Row],[resolution_date]]-Table1[[#This Row],[submission_date]]</f>
        <v>1.7335555439858581</v>
      </c>
      <c r="C103" s="14" t="str">
        <f>TEXT(Table1[[#This Row],[submission_date]],"ddd")</f>
        <v>Thu</v>
      </c>
      <c r="D103" s="14" t="str">
        <f>TEXT(Table1[[#This Row],[submission_date]],"mmm")</f>
        <v>Sep</v>
      </c>
      <c r="E103" s="15">
        <f>Table1[[#This Row],[Resolution Time]]*24</f>
        <v>41.605333055660594</v>
      </c>
    </row>
    <row r="104" spans="1:5" x14ac:dyDescent="0.3">
      <c r="A104" s="6" t="s">
        <v>29</v>
      </c>
      <c r="B104" s="12">
        <f>Table1[[#This Row],[resolution_date]]-Table1[[#This Row],[submission_date]]</f>
        <v>1.1051282291664393</v>
      </c>
      <c r="C104" s="12" t="str">
        <f>TEXT(Table1[[#This Row],[submission_date]],"ddd")</f>
        <v>Tue</v>
      </c>
      <c r="D104" s="12" t="str">
        <f>TEXT(Table1[[#This Row],[submission_date]],"mmm")</f>
        <v>Jul</v>
      </c>
      <c r="E104" s="13">
        <f>Table1[[#This Row],[Resolution Time]]*24</f>
        <v>26.523077499994542</v>
      </c>
    </row>
    <row r="105" spans="1:5" x14ac:dyDescent="0.3">
      <c r="A105" s="7" t="s">
        <v>16</v>
      </c>
      <c r="B105" s="14">
        <f>Table1[[#This Row],[resolution_date]]-Table1[[#This Row],[submission_date]]</f>
        <v>0.4747938541622716</v>
      </c>
      <c r="C105" s="14" t="str">
        <f>TEXT(Table1[[#This Row],[submission_date]],"ddd")</f>
        <v>Wed</v>
      </c>
      <c r="D105" s="14" t="str">
        <f>TEXT(Table1[[#This Row],[submission_date]],"mmm")</f>
        <v>Jun</v>
      </c>
      <c r="E105" s="15">
        <f>Table1[[#This Row],[Resolution Time]]*24</f>
        <v>11.395052499894518</v>
      </c>
    </row>
    <row r="106" spans="1:5" x14ac:dyDescent="0.3">
      <c r="A106" s="6" t="s">
        <v>11</v>
      </c>
      <c r="B106" s="12">
        <f>Table1[[#This Row],[resolution_date]]-Table1[[#This Row],[submission_date]]</f>
        <v>0.17877283565030666</v>
      </c>
      <c r="C106" s="12" t="str">
        <f>TEXT(Table1[[#This Row],[submission_date]],"ddd")</f>
        <v>Sat</v>
      </c>
      <c r="D106" s="12" t="str">
        <f>TEXT(Table1[[#This Row],[submission_date]],"mmm")</f>
        <v>Sep</v>
      </c>
      <c r="E106" s="13">
        <f>Table1[[#This Row],[Resolution Time]]*24</f>
        <v>4.2905480556073599</v>
      </c>
    </row>
    <row r="107" spans="1:5" x14ac:dyDescent="0.3">
      <c r="A107" s="7" t="s">
        <v>29</v>
      </c>
      <c r="B107" s="14">
        <f>Table1[[#This Row],[resolution_date]]-Table1[[#This Row],[submission_date]]</f>
        <v>2.4140903125007753</v>
      </c>
      <c r="C107" s="14" t="str">
        <f>TEXT(Table1[[#This Row],[submission_date]],"ddd")</f>
        <v>Sun</v>
      </c>
      <c r="D107" s="14" t="str">
        <f>TEXT(Table1[[#This Row],[submission_date]],"mmm")</f>
        <v>Aug</v>
      </c>
      <c r="E107" s="15">
        <f>Table1[[#This Row],[Resolution Time]]*24</f>
        <v>57.938167500018608</v>
      </c>
    </row>
    <row r="108" spans="1:5" x14ac:dyDescent="0.3">
      <c r="A108" s="6" t="s">
        <v>16</v>
      </c>
      <c r="B108" s="12">
        <f>Table1[[#This Row],[resolution_date]]-Table1[[#This Row],[submission_date]]</f>
        <v>1.2580529282422503</v>
      </c>
      <c r="C108" s="12" t="str">
        <f>TEXT(Table1[[#This Row],[submission_date]],"ddd")</f>
        <v>Sun</v>
      </c>
      <c r="D108" s="12" t="str">
        <f>TEXT(Table1[[#This Row],[submission_date]],"mmm")</f>
        <v>Aug</v>
      </c>
      <c r="E108" s="13">
        <f>Table1[[#This Row],[Resolution Time]]*24</f>
        <v>30.193270277814008</v>
      </c>
    </row>
    <row r="109" spans="1:5" x14ac:dyDescent="0.3">
      <c r="A109" s="7" t="s">
        <v>29</v>
      </c>
      <c r="B109" s="14">
        <f>Table1[[#This Row],[resolution_date]]-Table1[[#This Row],[submission_date]]</f>
        <v>2.7201320833337377</v>
      </c>
      <c r="C109" s="14" t="str">
        <f>TEXT(Table1[[#This Row],[submission_date]],"ddd")</f>
        <v>Mon</v>
      </c>
      <c r="D109" s="14" t="str">
        <f>TEXT(Table1[[#This Row],[submission_date]],"mmm")</f>
        <v>Jul</v>
      </c>
      <c r="E109" s="15">
        <f>Table1[[#This Row],[Resolution Time]]*24</f>
        <v>65.283170000009704</v>
      </c>
    </row>
    <row r="110" spans="1:5" x14ac:dyDescent="0.3">
      <c r="A110" s="6" t="s">
        <v>11</v>
      </c>
      <c r="B110" s="12">
        <f>Table1[[#This Row],[resolution_date]]-Table1[[#This Row],[submission_date]]</f>
        <v>0.20745024305506377</v>
      </c>
      <c r="C110" s="12" t="str">
        <f>TEXT(Table1[[#This Row],[submission_date]],"ddd")</f>
        <v>Sat</v>
      </c>
      <c r="D110" s="12" t="str">
        <f>TEXT(Table1[[#This Row],[submission_date]],"mmm")</f>
        <v>Jul</v>
      </c>
      <c r="E110" s="13">
        <f>Table1[[#This Row],[Resolution Time]]*24</f>
        <v>4.9788058333215304</v>
      </c>
    </row>
    <row r="111" spans="1:5" x14ac:dyDescent="0.3">
      <c r="A111" s="7" t="s">
        <v>29</v>
      </c>
      <c r="B111" s="14">
        <f>Table1[[#This Row],[resolution_date]]-Table1[[#This Row],[submission_date]]</f>
        <v>6.916926099533157</v>
      </c>
      <c r="C111" s="14" t="str">
        <f>TEXT(Table1[[#This Row],[submission_date]],"ddd")</f>
        <v>Sun</v>
      </c>
      <c r="D111" s="14" t="str">
        <f>TEXT(Table1[[#This Row],[submission_date]],"mmm")</f>
        <v>Jul</v>
      </c>
      <c r="E111" s="15">
        <f>Table1[[#This Row],[Resolution Time]]*24</f>
        <v>166.00622638879577</v>
      </c>
    </row>
    <row r="112" spans="1:5" x14ac:dyDescent="0.3">
      <c r="A112" s="6" t="s">
        <v>11</v>
      </c>
      <c r="B112" s="12">
        <f>Table1[[#This Row],[resolution_date]]-Table1[[#This Row],[submission_date]]</f>
        <v>0.27740504629036877</v>
      </c>
      <c r="C112" s="12" t="str">
        <f>TEXT(Table1[[#This Row],[submission_date]],"ddd")</f>
        <v>Mon</v>
      </c>
      <c r="D112" s="12" t="str">
        <f>TEXT(Table1[[#This Row],[submission_date]],"mmm")</f>
        <v>Jul</v>
      </c>
      <c r="E112" s="13">
        <f>Table1[[#This Row],[Resolution Time]]*24</f>
        <v>6.6577211109688506</v>
      </c>
    </row>
    <row r="113" spans="1:5" x14ac:dyDescent="0.3">
      <c r="A113" s="7" t="s">
        <v>29</v>
      </c>
      <c r="B113" s="14">
        <f>Table1[[#This Row],[resolution_date]]-Table1[[#This Row],[submission_date]]</f>
        <v>6.9654803819430526</v>
      </c>
      <c r="C113" s="14" t="str">
        <f>TEXT(Table1[[#This Row],[submission_date]],"ddd")</f>
        <v>Thu</v>
      </c>
      <c r="D113" s="14" t="str">
        <f>TEXT(Table1[[#This Row],[submission_date]],"mmm")</f>
        <v>Aug</v>
      </c>
      <c r="E113" s="15">
        <f>Table1[[#This Row],[Resolution Time]]*24</f>
        <v>167.17152916663326</v>
      </c>
    </row>
    <row r="114" spans="1:5" x14ac:dyDescent="0.3">
      <c r="A114" s="6" t="s">
        <v>29</v>
      </c>
      <c r="B114" s="12">
        <f>Table1[[#This Row],[resolution_date]]-Table1[[#This Row],[submission_date]]</f>
        <v>4.8602374537076685</v>
      </c>
      <c r="C114" s="12" t="str">
        <f>TEXT(Table1[[#This Row],[submission_date]],"ddd")</f>
        <v>Thu</v>
      </c>
      <c r="D114" s="12" t="str">
        <f>TEXT(Table1[[#This Row],[submission_date]],"mmm")</f>
        <v>Aug</v>
      </c>
      <c r="E114" s="13">
        <f>Table1[[#This Row],[Resolution Time]]*24</f>
        <v>116.64569888898404</v>
      </c>
    </row>
    <row r="115" spans="1:5" x14ac:dyDescent="0.3">
      <c r="A115" s="7" t="s">
        <v>11</v>
      </c>
      <c r="B115" s="14">
        <f>Table1[[#This Row],[resolution_date]]-Table1[[#This Row],[submission_date]]</f>
        <v>9.1515497690124903E-2</v>
      </c>
      <c r="C115" s="14" t="str">
        <f>TEXT(Table1[[#This Row],[submission_date]],"ddd")</f>
        <v>Wed</v>
      </c>
      <c r="D115" s="14" t="str">
        <f>TEXT(Table1[[#This Row],[submission_date]],"mmm")</f>
        <v>Aug</v>
      </c>
      <c r="E115" s="15">
        <f>Table1[[#This Row],[Resolution Time]]*24</f>
        <v>2.1963719445629977</v>
      </c>
    </row>
    <row r="116" spans="1:5" x14ac:dyDescent="0.3">
      <c r="A116" s="6" t="s">
        <v>16</v>
      </c>
      <c r="B116" s="12">
        <f>Table1[[#This Row],[resolution_date]]-Table1[[#This Row],[submission_date]]</f>
        <v>0.60292799768649274</v>
      </c>
      <c r="C116" s="12" t="str">
        <f>TEXT(Table1[[#This Row],[submission_date]],"ddd")</f>
        <v>Thu</v>
      </c>
      <c r="D116" s="12" t="str">
        <f>TEXT(Table1[[#This Row],[submission_date]],"mmm")</f>
        <v>Jun</v>
      </c>
      <c r="E116" s="13">
        <f>Table1[[#This Row],[Resolution Time]]*24</f>
        <v>14.470271944475826</v>
      </c>
    </row>
    <row r="117" spans="1:5" x14ac:dyDescent="0.3">
      <c r="A117" s="7" t="s">
        <v>29</v>
      </c>
      <c r="B117" s="14">
        <f>Table1[[#This Row],[resolution_date]]-Table1[[#This Row],[submission_date]]</f>
        <v>4.7420260879662237</v>
      </c>
      <c r="C117" s="14" t="str">
        <f>TEXT(Table1[[#This Row],[submission_date]],"ddd")</f>
        <v>Thu</v>
      </c>
      <c r="D117" s="14" t="str">
        <f>TEXT(Table1[[#This Row],[submission_date]],"mmm")</f>
        <v>Sep</v>
      </c>
      <c r="E117" s="15">
        <f>Table1[[#This Row],[Resolution Time]]*24</f>
        <v>113.80862611118937</v>
      </c>
    </row>
    <row r="118" spans="1:5" x14ac:dyDescent="0.3">
      <c r="A118" s="6" t="s">
        <v>16</v>
      </c>
      <c r="B118" s="12">
        <f>Table1[[#This Row],[resolution_date]]-Table1[[#This Row],[submission_date]]</f>
        <v>1.347942812499241</v>
      </c>
      <c r="C118" s="12" t="str">
        <f>TEXT(Table1[[#This Row],[submission_date]],"ddd")</f>
        <v>Mon</v>
      </c>
      <c r="D118" s="12" t="str">
        <f>TEXT(Table1[[#This Row],[submission_date]],"mmm")</f>
        <v>Jul</v>
      </c>
      <c r="E118" s="13">
        <f>Table1[[#This Row],[Resolution Time]]*24</f>
        <v>32.350627499981783</v>
      </c>
    </row>
    <row r="119" spans="1:5" x14ac:dyDescent="0.3">
      <c r="A119" s="7" t="s">
        <v>16</v>
      </c>
      <c r="B119" s="14">
        <f>Table1[[#This Row],[resolution_date]]-Table1[[#This Row],[submission_date]]</f>
        <v>1.8185496296282508</v>
      </c>
      <c r="C119" s="14" t="str">
        <f>TEXT(Table1[[#This Row],[submission_date]],"ddd")</f>
        <v>Thu</v>
      </c>
      <c r="D119" s="14" t="str">
        <f>TEXT(Table1[[#This Row],[submission_date]],"mmm")</f>
        <v>Jul</v>
      </c>
      <c r="E119" s="15">
        <f>Table1[[#This Row],[Resolution Time]]*24</f>
        <v>43.64519111107802</v>
      </c>
    </row>
    <row r="120" spans="1:5" x14ac:dyDescent="0.3">
      <c r="A120" s="6" t="s">
        <v>29</v>
      </c>
      <c r="B120" s="12">
        <f>Table1[[#This Row],[resolution_date]]-Table1[[#This Row],[submission_date]]</f>
        <v>6.5955354166653706</v>
      </c>
      <c r="C120" s="12" t="str">
        <f>TEXT(Table1[[#This Row],[submission_date]],"ddd")</f>
        <v>Sun</v>
      </c>
      <c r="D120" s="12" t="str">
        <f>TEXT(Table1[[#This Row],[submission_date]],"mmm")</f>
        <v>Aug</v>
      </c>
      <c r="E120" s="13">
        <f>Table1[[#This Row],[Resolution Time]]*24</f>
        <v>158.29284999996889</v>
      </c>
    </row>
    <row r="121" spans="1:5" x14ac:dyDescent="0.3">
      <c r="A121" s="7" t="s">
        <v>16</v>
      </c>
      <c r="B121" s="14">
        <f>Table1[[#This Row],[resolution_date]]-Table1[[#This Row],[submission_date]]</f>
        <v>0.78451814815343823</v>
      </c>
      <c r="C121" s="14" t="str">
        <f>TEXT(Table1[[#This Row],[submission_date]],"ddd")</f>
        <v>Sat</v>
      </c>
      <c r="D121" s="14" t="str">
        <f>TEXT(Table1[[#This Row],[submission_date]],"mmm")</f>
        <v>Jul</v>
      </c>
      <c r="E121" s="15">
        <f>Table1[[#This Row],[Resolution Time]]*24</f>
        <v>18.828435555682518</v>
      </c>
    </row>
    <row r="122" spans="1:5" x14ac:dyDescent="0.3">
      <c r="A122" s="6" t="s">
        <v>16</v>
      </c>
      <c r="B122" s="12">
        <f>Table1[[#This Row],[resolution_date]]-Table1[[#This Row],[submission_date]]</f>
        <v>0.76599427082692273</v>
      </c>
      <c r="C122" s="12" t="str">
        <f>TEXT(Table1[[#This Row],[submission_date]],"ddd")</f>
        <v>Sat</v>
      </c>
      <c r="D122" s="12" t="str">
        <f>TEXT(Table1[[#This Row],[submission_date]],"mmm")</f>
        <v>Jul</v>
      </c>
      <c r="E122" s="13">
        <f>Table1[[#This Row],[Resolution Time]]*24</f>
        <v>18.383862499846146</v>
      </c>
    </row>
    <row r="123" spans="1:5" x14ac:dyDescent="0.3">
      <c r="A123" s="7" t="s">
        <v>16</v>
      </c>
      <c r="B123" s="14">
        <f>Table1[[#This Row],[resolution_date]]-Table1[[#This Row],[submission_date]]</f>
        <v>0.59946083332761191</v>
      </c>
      <c r="C123" s="14" t="str">
        <f>TEXT(Table1[[#This Row],[submission_date]],"ddd")</f>
        <v>Sun</v>
      </c>
      <c r="D123" s="14" t="str">
        <f>TEXT(Table1[[#This Row],[submission_date]],"mmm")</f>
        <v>Jun</v>
      </c>
      <c r="E123" s="15">
        <f>Table1[[#This Row],[Resolution Time]]*24</f>
        <v>14.387059999862686</v>
      </c>
    </row>
    <row r="124" spans="1:5" x14ac:dyDescent="0.3">
      <c r="A124" s="6" t="s">
        <v>16</v>
      </c>
      <c r="B124" s="12">
        <f>Table1[[#This Row],[resolution_date]]-Table1[[#This Row],[submission_date]]</f>
        <v>0.77396736110677011</v>
      </c>
      <c r="C124" s="12" t="str">
        <f>TEXT(Table1[[#This Row],[submission_date]],"ddd")</f>
        <v>Tue</v>
      </c>
      <c r="D124" s="12" t="str">
        <f>TEXT(Table1[[#This Row],[submission_date]],"mmm")</f>
        <v>Jul</v>
      </c>
      <c r="E124" s="13">
        <f>Table1[[#This Row],[Resolution Time]]*24</f>
        <v>18.575216666562483</v>
      </c>
    </row>
    <row r="125" spans="1:5" x14ac:dyDescent="0.3">
      <c r="A125" s="7" t="s">
        <v>16</v>
      </c>
      <c r="B125" s="14">
        <f>Table1[[#This Row],[resolution_date]]-Table1[[#This Row],[submission_date]]</f>
        <v>1.7465471064788289</v>
      </c>
      <c r="C125" s="14" t="str">
        <f>TEXT(Table1[[#This Row],[submission_date]],"ddd")</f>
        <v>Tue</v>
      </c>
      <c r="D125" s="14" t="str">
        <f>TEXT(Table1[[#This Row],[submission_date]],"mmm")</f>
        <v>Aug</v>
      </c>
      <c r="E125" s="15">
        <f>Table1[[#This Row],[Resolution Time]]*24</f>
        <v>41.917130555491894</v>
      </c>
    </row>
    <row r="126" spans="1:5" x14ac:dyDescent="0.3">
      <c r="A126" s="6" t="s">
        <v>16</v>
      </c>
      <c r="B126" s="12">
        <f>Table1[[#This Row],[resolution_date]]-Table1[[#This Row],[submission_date]]</f>
        <v>0.5295589351808303</v>
      </c>
      <c r="C126" s="12" t="str">
        <f>TEXT(Table1[[#This Row],[submission_date]],"ddd")</f>
        <v>Wed</v>
      </c>
      <c r="D126" s="12" t="str">
        <f>TEXT(Table1[[#This Row],[submission_date]],"mmm")</f>
        <v>Jun</v>
      </c>
      <c r="E126" s="13">
        <f>Table1[[#This Row],[Resolution Time]]*24</f>
        <v>12.709414444339927</v>
      </c>
    </row>
    <row r="127" spans="1:5" x14ac:dyDescent="0.3">
      <c r="A127" s="7" t="s">
        <v>16</v>
      </c>
      <c r="B127" s="14">
        <f>Table1[[#This Row],[resolution_date]]-Table1[[#This Row],[submission_date]]</f>
        <v>0.73848039352014894</v>
      </c>
      <c r="C127" s="14" t="str">
        <f>TEXT(Table1[[#This Row],[submission_date]],"ddd")</f>
        <v>Sat</v>
      </c>
      <c r="D127" s="14" t="str">
        <f>TEXT(Table1[[#This Row],[submission_date]],"mmm")</f>
        <v>Aug</v>
      </c>
      <c r="E127" s="15">
        <f>Table1[[#This Row],[Resolution Time]]*24</f>
        <v>17.723529444483574</v>
      </c>
    </row>
    <row r="128" spans="1:5" x14ac:dyDescent="0.3">
      <c r="A128" s="6" t="s">
        <v>29</v>
      </c>
      <c r="B128" s="12">
        <f>Table1[[#This Row],[resolution_date]]-Table1[[#This Row],[submission_date]]</f>
        <v>3.9458276736113476</v>
      </c>
      <c r="C128" s="12" t="str">
        <f>TEXT(Table1[[#This Row],[submission_date]],"ddd")</f>
        <v>Tue</v>
      </c>
      <c r="D128" s="12" t="str">
        <f>TEXT(Table1[[#This Row],[submission_date]],"mmm")</f>
        <v>Aug</v>
      </c>
      <c r="E128" s="13">
        <f>Table1[[#This Row],[Resolution Time]]*24</f>
        <v>94.699864166672342</v>
      </c>
    </row>
    <row r="129" spans="1:5" x14ac:dyDescent="0.3">
      <c r="A129" s="7" t="s">
        <v>29</v>
      </c>
      <c r="B129" s="14">
        <f>Table1[[#This Row],[resolution_date]]-Table1[[#This Row],[submission_date]]</f>
        <v>4.4168176851817407</v>
      </c>
      <c r="C129" s="14" t="str">
        <f>TEXT(Table1[[#This Row],[submission_date]],"ddd")</f>
        <v>Thu</v>
      </c>
      <c r="D129" s="14" t="str">
        <f>TEXT(Table1[[#This Row],[submission_date]],"mmm")</f>
        <v>Jul</v>
      </c>
      <c r="E129" s="15">
        <f>Table1[[#This Row],[Resolution Time]]*24</f>
        <v>106.00362444436178</v>
      </c>
    </row>
    <row r="130" spans="1:5" x14ac:dyDescent="0.3">
      <c r="A130" s="6" t="s">
        <v>11</v>
      </c>
      <c r="B130" s="12">
        <f>Table1[[#This Row],[resolution_date]]-Table1[[#This Row],[submission_date]]</f>
        <v>0.34477459490881301</v>
      </c>
      <c r="C130" s="12" t="str">
        <f>TEXT(Table1[[#This Row],[submission_date]],"ddd")</f>
        <v>Tue</v>
      </c>
      <c r="D130" s="12" t="str">
        <f>TEXT(Table1[[#This Row],[submission_date]],"mmm")</f>
        <v>Sep</v>
      </c>
      <c r="E130" s="13">
        <f>Table1[[#This Row],[Resolution Time]]*24</f>
        <v>8.2745902778115124</v>
      </c>
    </row>
    <row r="131" spans="1:5" x14ac:dyDescent="0.3">
      <c r="A131" s="7" t="s">
        <v>16</v>
      </c>
      <c r="B131" s="14">
        <f>Table1[[#This Row],[resolution_date]]-Table1[[#This Row],[submission_date]]</f>
        <v>1.9435833680545329</v>
      </c>
      <c r="C131" s="14" t="str">
        <f>TEXT(Table1[[#This Row],[submission_date]],"ddd")</f>
        <v>Sat</v>
      </c>
      <c r="D131" s="14" t="str">
        <f>TEXT(Table1[[#This Row],[submission_date]],"mmm")</f>
        <v>Sep</v>
      </c>
      <c r="E131" s="15">
        <f>Table1[[#This Row],[Resolution Time]]*24</f>
        <v>46.64600083330879</v>
      </c>
    </row>
    <row r="132" spans="1:5" x14ac:dyDescent="0.3">
      <c r="A132" s="6" t="s">
        <v>29</v>
      </c>
      <c r="B132" s="12">
        <f>Table1[[#This Row],[resolution_date]]-Table1[[#This Row],[submission_date]]</f>
        <v>1.8214556481470936</v>
      </c>
      <c r="C132" s="12" t="str">
        <f>TEXT(Table1[[#This Row],[submission_date]],"ddd")</f>
        <v>Wed</v>
      </c>
      <c r="D132" s="12" t="str">
        <f>TEXT(Table1[[#This Row],[submission_date]],"mmm")</f>
        <v>Sep</v>
      </c>
      <c r="E132" s="13">
        <f>Table1[[#This Row],[Resolution Time]]*24</f>
        <v>43.714935555530246</v>
      </c>
    </row>
    <row r="133" spans="1:5" x14ac:dyDescent="0.3">
      <c r="A133" s="7" t="s">
        <v>29</v>
      </c>
      <c r="B133" s="14">
        <f>Table1[[#This Row],[resolution_date]]-Table1[[#This Row],[submission_date]]</f>
        <v>3.8684753009292763</v>
      </c>
      <c r="C133" s="14" t="str">
        <f>TEXT(Table1[[#This Row],[submission_date]],"ddd")</f>
        <v>Sun</v>
      </c>
      <c r="D133" s="14" t="str">
        <f>TEXT(Table1[[#This Row],[submission_date]],"mmm")</f>
        <v>Aug</v>
      </c>
      <c r="E133" s="15">
        <f>Table1[[#This Row],[Resolution Time]]*24</f>
        <v>92.843407222302631</v>
      </c>
    </row>
    <row r="134" spans="1:5" x14ac:dyDescent="0.3">
      <c r="A134" s="6" t="s">
        <v>29</v>
      </c>
      <c r="B134" s="12">
        <f>Table1[[#This Row],[resolution_date]]-Table1[[#This Row],[submission_date]]</f>
        <v>3.4774506481480785</v>
      </c>
      <c r="C134" s="12" t="str">
        <f>TEXT(Table1[[#This Row],[submission_date]],"ddd")</f>
        <v>Sun</v>
      </c>
      <c r="D134" s="12" t="str">
        <f>TEXT(Table1[[#This Row],[submission_date]],"mmm")</f>
        <v>Sep</v>
      </c>
      <c r="E134" s="13">
        <f>Table1[[#This Row],[Resolution Time]]*24</f>
        <v>83.458815555553883</v>
      </c>
    </row>
    <row r="135" spans="1:5" x14ac:dyDescent="0.3">
      <c r="A135" s="7" t="s">
        <v>11</v>
      </c>
      <c r="B135" s="14">
        <f>Table1[[#This Row],[resolution_date]]-Table1[[#This Row],[submission_date]]</f>
        <v>0.41527189814951271</v>
      </c>
      <c r="C135" s="14" t="str">
        <f>TEXT(Table1[[#This Row],[submission_date]],"ddd")</f>
        <v>Mon</v>
      </c>
      <c r="D135" s="14" t="str">
        <f>TEXT(Table1[[#This Row],[submission_date]],"mmm")</f>
        <v>Jul</v>
      </c>
      <c r="E135" s="15">
        <f>Table1[[#This Row],[Resolution Time]]*24</f>
        <v>9.966525555588305</v>
      </c>
    </row>
    <row r="136" spans="1:5" x14ac:dyDescent="0.3">
      <c r="A136" s="6" t="s">
        <v>29</v>
      </c>
      <c r="B136" s="12">
        <f>Table1[[#This Row],[resolution_date]]-Table1[[#This Row],[submission_date]]</f>
        <v>6.9831930555592407</v>
      </c>
      <c r="C136" s="12" t="str">
        <f>TEXT(Table1[[#This Row],[submission_date]],"ddd")</f>
        <v>Fri</v>
      </c>
      <c r="D136" s="12" t="str">
        <f>TEXT(Table1[[#This Row],[submission_date]],"mmm")</f>
        <v>Aug</v>
      </c>
      <c r="E136" s="13">
        <f>Table1[[#This Row],[Resolution Time]]*24</f>
        <v>167.59663333342178</v>
      </c>
    </row>
    <row r="137" spans="1:5" x14ac:dyDescent="0.3">
      <c r="A137" s="7" t="s">
        <v>29</v>
      </c>
      <c r="B137" s="14">
        <f>Table1[[#This Row],[resolution_date]]-Table1[[#This Row],[submission_date]]</f>
        <v>4.7840121643530438</v>
      </c>
      <c r="C137" s="14" t="str">
        <f>TEXT(Table1[[#This Row],[submission_date]],"ddd")</f>
        <v>Tue</v>
      </c>
      <c r="D137" s="14" t="str">
        <f>TEXT(Table1[[#This Row],[submission_date]],"mmm")</f>
        <v>Jun</v>
      </c>
      <c r="E137" s="15">
        <f>Table1[[#This Row],[Resolution Time]]*24</f>
        <v>114.81629194447305</v>
      </c>
    </row>
    <row r="138" spans="1:5" x14ac:dyDescent="0.3">
      <c r="A138" s="6" t="s">
        <v>29</v>
      </c>
      <c r="B138" s="12">
        <f>Table1[[#This Row],[resolution_date]]-Table1[[#This Row],[submission_date]]</f>
        <v>3.2479806828705478</v>
      </c>
      <c r="C138" s="12" t="str">
        <f>TEXT(Table1[[#This Row],[submission_date]],"ddd")</f>
        <v>Sun</v>
      </c>
      <c r="D138" s="12" t="str">
        <f>TEXT(Table1[[#This Row],[submission_date]],"mmm")</f>
        <v>Sep</v>
      </c>
      <c r="E138" s="13">
        <f>Table1[[#This Row],[Resolution Time]]*24</f>
        <v>77.951536388893146</v>
      </c>
    </row>
    <row r="139" spans="1:5" x14ac:dyDescent="0.3">
      <c r="A139" s="7" t="s">
        <v>29</v>
      </c>
      <c r="B139" s="14">
        <f>Table1[[#This Row],[resolution_date]]-Table1[[#This Row],[submission_date]]</f>
        <v>1.5849013888946502</v>
      </c>
      <c r="C139" s="14" t="str">
        <f>TEXT(Table1[[#This Row],[submission_date]],"ddd")</f>
        <v>Sun</v>
      </c>
      <c r="D139" s="14" t="str">
        <f>TEXT(Table1[[#This Row],[submission_date]],"mmm")</f>
        <v>Jun</v>
      </c>
      <c r="E139" s="15">
        <f>Table1[[#This Row],[Resolution Time]]*24</f>
        <v>38.037633333471604</v>
      </c>
    </row>
    <row r="140" spans="1:5" x14ac:dyDescent="0.3">
      <c r="A140" s="6" t="s">
        <v>16</v>
      </c>
      <c r="B140" s="12">
        <f>Table1[[#This Row],[resolution_date]]-Table1[[#This Row],[submission_date]]</f>
        <v>0.97112104166444624</v>
      </c>
      <c r="C140" s="12" t="str">
        <f>TEXT(Table1[[#This Row],[submission_date]],"ddd")</f>
        <v>Tue</v>
      </c>
      <c r="D140" s="12" t="str">
        <f>TEXT(Table1[[#This Row],[submission_date]],"mmm")</f>
        <v>Aug</v>
      </c>
      <c r="E140" s="13">
        <f>Table1[[#This Row],[Resolution Time]]*24</f>
        <v>23.30690499994671</v>
      </c>
    </row>
    <row r="141" spans="1:5" x14ac:dyDescent="0.3">
      <c r="A141" s="7" t="s">
        <v>29</v>
      </c>
      <c r="B141" s="14">
        <f>Table1[[#This Row],[resolution_date]]-Table1[[#This Row],[submission_date]]</f>
        <v>5.8234886574064149</v>
      </c>
      <c r="C141" s="14" t="str">
        <f>TEXT(Table1[[#This Row],[submission_date]],"ddd")</f>
        <v>Thu</v>
      </c>
      <c r="D141" s="14" t="str">
        <f>TEXT(Table1[[#This Row],[submission_date]],"mmm")</f>
        <v>Aug</v>
      </c>
      <c r="E141" s="15">
        <f>Table1[[#This Row],[Resolution Time]]*24</f>
        <v>139.76372777775396</v>
      </c>
    </row>
    <row r="142" spans="1:5" x14ac:dyDescent="0.3">
      <c r="A142" s="6" t="s">
        <v>16</v>
      </c>
      <c r="B142" s="12">
        <f>Table1[[#This Row],[resolution_date]]-Table1[[#This Row],[submission_date]]</f>
        <v>0.61989549768622965</v>
      </c>
      <c r="C142" s="12" t="str">
        <f>TEXT(Table1[[#This Row],[submission_date]],"ddd")</f>
        <v>Tue</v>
      </c>
      <c r="D142" s="12" t="str">
        <f>TEXT(Table1[[#This Row],[submission_date]],"mmm")</f>
        <v>Aug</v>
      </c>
      <c r="E142" s="13">
        <f>Table1[[#This Row],[Resolution Time]]*24</f>
        <v>14.877491944469512</v>
      </c>
    </row>
    <row r="143" spans="1:5" x14ac:dyDescent="0.3">
      <c r="A143" s="7" t="s">
        <v>16</v>
      </c>
      <c r="B143" s="14">
        <f>Table1[[#This Row],[resolution_date]]-Table1[[#This Row],[submission_date]]</f>
        <v>0.53618780092074303</v>
      </c>
      <c r="C143" s="14" t="str">
        <f>TEXT(Table1[[#This Row],[submission_date]],"ddd")</f>
        <v>Mon</v>
      </c>
      <c r="D143" s="14" t="str">
        <f>TEXT(Table1[[#This Row],[submission_date]],"mmm")</f>
        <v>Aug</v>
      </c>
      <c r="E143" s="15">
        <f>Table1[[#This Row],[Resolution Time]]*24</f>
        <v>12.868507222097833</v>
      </c>
    </row>
    <row r="144" spans="1:5" x14ac:dyDescent="0.3">
      <c r="A144" s="6" t="s">
        <v>16</v>
      </c>
      <c r="B144" s="12">
        <f>Table1[[#This Row],[resolution_date]]-Table1[[#This Row],[submission_date]]</f>
        <v>1.2180552199060912</v>
      </c>
      <c r="C144" s="12" t="str">
        <f>TEXT(Table1[[#This Row],[submission_date]],"ddd")</f>
        <v>Sat</v>
      </c>
      <c r="D144" s="12" t="str">
        <f>TEXT(Table1[[#This Row],[submission_date]],"mmm")</f>
        <v>Sep</v>
      </c>
      <c r="E144" s="13">
        <f>Table1[[#This Row],[Resolution Time]]*24</f>
        <v>29.233325277746189</v>
      </c>
    </row>
    <row r="145" spans="1:5" x14ac:dyDescent="0.3">
      <c r="A145" s="7" t="s">
        <v>29</v>
      </c>
      <c r="B145" s="14">
        <f>Table1[[#This Row],[resolution_date]]-Table1[[#This Row],[submission_date]]</f>
        <v>3.6667418981451192</v>
      </c>
      <c r="C145" s="14" t="str">
        <f>TEXT(Table1[[#This Row],[submission_date]],"ddd")</f>
        <v>Sun</v>
      </c>
      <c r="D145" s="14" t="str">
        <f>TEXT(Table1[[#This Row],[submission_date]],"mmm")</f>
        <v>Aug</v>
      </c>
      <c r="E145" s="15">
        <f>Table1[[#This Row],[Resolution Time]]*24</f>
        <v>88.001805555482861</v>
      </c>
    </row>
    <row r="146" spans="1:5" x14ac:dyDescent="0.3">
      <c r="A146" s="6" t="s">
        <v>16</v>
      </c>
      <c r="B146" s="12">
        <f>Table1[[#This Row],[resolution_date]]-Table1[[#This Row],[submission_date]]</f>
        <v>0.50956079860770842</v>
      </c>
      <c r="C146" s="12" t="str">
        <f>TEXT(Table1[[#This Row],[submission_date]],"ddd")</f>
        <v>Fri</v>
      </c>
      <c r="D146" s="12" t="str">
        <f>TEXT(Table1[[#This Row],[submission_date]],"mmm")</f>
        <v>Jun</v>
      </c>
      <c r="E146" s="13">
        <f>Table1[[#This Row],[Resolution Time]]*24</f>
        <v>12.229459166585002</v>
      </c>
    </row>
    <row r="147" spans="1:5" x14ac:dyDescent="0.3">
      <c r="A147" s="7" t="s">
        <v>115</v>
      </c>
      <c r="B147" s="14">
        <f>Table1[[#This Row],[resolution_date]]-Table1[[#This Row],[submission_date]]</f>
        <v>8.373768518504221E-2</v>
      </c>
      <c r="C147" s="14" t="str">
        <f>TEXT(Table1[[#This Row],[submission_date]],"ddd")</f>
        <v>Sun</v>
      </c>
      <c r="D147" s="14" t="str">
        <f>TEXT(Table1[[#This Row],[submission_date]],"mmm")</f>
        <v>Aug</v>
      </c>
      <c r="E147" s="15">
        <f>Table1[[#This Row],[Resolution Time]]*24</f>
        <v>2.009704444441013</v>
      </c>
    </row>
    <row r="148" spans="1:5" x14ac:dyDescent="0.3">
      <c r="A148" s="6" t="s">
        <v>11</v>
      </c>
      <c r="B148" s="12">
        <f>Table1[[#This Row],[resolution_date]]-Table1[[#This Row],[submission_date]]</f>
        <v>0.32705649305717088</v>
      </c>
      <c r="C148" s="12" t="str">
        <f>TEXT(Table1[[#This Row],[submission_date]],"ddd")</f>
        <v>Tue</v>
      </c>
      <c r="D148" s="12" t="str">
        <f>TEXT(Table1[[#This Row],[submission_date]],"mmm")</f>
        <v>Jun</v>
      </c>
      <c r="E148" s="13">
        <f>Table1[[#This Row],[Resolution Time]]*24</f>
        <v>7.8493558333721012</v>
      </c>
    </row>
    <row r="149" spans="1:5" x14ac:dyDescent="0.3">
      <c r="A149" s="7" t="s">
        <v>29</v>
      </c>
      <c r="B149" s="14">
        <f>Table1[[#This Row],[resolution_date]]-Table1[[#This Row],[submission_date]]</f>
        <v>3.5030886111053405</v>
      </c>
      <c r="C149" s="14" t="str">
        <f>TEXT(Table1[[#This Row],[submission_date]],"ddd")</f>
        <v>Tue</v>
      </c>
      <c r="D149" s="14" t="str">
        <f>TEXT(Table1[[#This Row],[submission_date]],"mmm")</f>
        <v>Sep</v>
      </c>
      <c r="E149" s="15">
        <f>Table1[[#This Row],[Resolution Time]]*24</f>
        <v>84.074126666528173</v>
      </c>
    </row>
    <row r="150" spans="1:5" x14ac:dyDescent="0.3">
      <c r="A150" s="6" t="s">
        <v>16</v>
      </c>
      <c r="B150" s="12">
        <f>Table1[[#This Row],[resolution_date]]-Table1[[#This Row],[submission_date]]</f>
        <v>1.1027523495358764</v>
      </c>
      <c r="C150" s="12" t="str">
        <f>TEXT(Table1[[#This Row],[submission_date]],"ddd")</f>
        <v>Wed</v>
      </c>
      <c r="D150" s="12" t="str">
        <f>TEXT(Table1[[#This Row],[submission_date]],"mmm")</f>
        <v>Jul</v>
      </c>
      <c r="E150" s="13">
        <f>Table1[[#This Row],[Resolution Time]]*24</f>
        <v>26.466056388861034</v>
      </c>
    </row>
    <row r="151" spans="1:5" x14ac:dyDescent="0.3">
      <c r="A151" s="7" t="s">
        <v>16</v>
      </c>
      <c r="B151" s="14">
        <f>Table1[[#This Row],[resolution_date]]-Table1[[#This Row],[submission_date]]</f>
        <v>1.000538726853847</v>
      </c>
      <c r="C151" s="14" t="str">
        <f>TEXT(Table1[[#This Row],[submission_date]],"ddd")</f>
        <v>Thu</v>
      </c>
      <c r="D151" s="14" t="str">
        <f>TEXT(Table1[[#This Row],[submission_date]],"mmm")</f>
        <v>Jul</v>
      </c>
      <c r="E151" s="15">
        <f>Table1[[#This Row],[Resolution Time]]*24</f>
        <v>24.012929444492329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967E-24AF-4370-84C1-F89496728CF6}">
  <dimension ref="A1:I27"/>
  <sheetViews>
    <sheetView workbookViewId="0">
      <selection activeCell="B23" sqref="B23"/>
    </sheetView>
  </sheetViews>
  <sheetFormatPr defaultRowHeight="14.4" x14ac:dyDescent="0.3"/>
  <cols>
    <col min="1" max="1" width="12.5546875" bestFit="1" customWidth="1"/>
    <col min="2" max="2" width="16.109375" bestFit="1" customWidth="1"/>
    <col min="4" max="4" width="17" bestFit="1" customWidth="1"/>
    <col min="5" max="5" width="25.109375" bestFit="1" customWidth="1"/>
    <col min="7" max="7" width="10.77734375" bestFit="1" customWidth="1"/>
    <col min="8" max="8" width="25.109375" bestFit="1" customWidth="1"/>
  </cols>
  <sheetData>
    <row r="1" spans="1:9" x14ac:dyDescent="0.3">
      <c r="A1" s="3" t="s">
        <v>329</v>
      </c>
      <c r="B1" t="s">
        <v>338</v>
      </c>
    </row>
    <row r="2" spans="1:9" x14ac:dyDescent="0.3">
      <c r="A2" s="4" t="s">
        <v>330</v>
      </c>
      <c r="B2">
        <v>26</v>
      </c>
      <c r="D2" s="3" t="s">
        <v>348</v>
      </c>
      <c r="E2" t="s">
        <v>338</v>
      </c>
      <c r="G2" s="3" t="s">
        <v>348</v>
      </c>
      <c r="H2" t="s">
        <v>364</v>
      </c>
    </row>
    <row r="3" spans="1:9" x14ac:dyDescent="0.3">
      <c r="A3" s="4" t="s">
        <v>331</v>
      </c>
      <c r="B3">
        <v>19</v>
      </c>
      <c r="D3" s="4" t="s">
        <v>13</v>
      </c>
      <c r="E3">
        <v>51</v>
      </c>
      <c r="G3" s="4" t="s">
        <v>31</v>
      </c>
      <c r="H3" s="10">
        <v>3.698899691358025</v>
      </c>
      <c r="I3" t="s">
        <v>349</v>
      </c>
    </row>
    <row r="4" spans="1:9" x14ac:dyDescent="0.3">
      <c r="A4" s="4" t="s">
        <v>332</v>
      </c>
      <c r="B4">
        <v>22</v>
      </c>
      <c r="D4" s="4" t="s">
        <v>21</v>
      </c>
      <c r="E4">
        <v>24</v>
      </c>
      <c r="G4" s="4" t="s">
        <v>81</v>
      </c>
      <c r="H4" s="10">
        <v>5.2180169753086423</v>
      </c>
      <c r="I4" t="s">
        <v>350</v>
      </c>
    </row>
    <row r="5" spans="1:9" x14ac:dyDescent="0.3">
      <c r="A5" s="4" t="s">
        <v>333</v>
      </c>
      <c r="B5">
        <v>24</v>
      </c>
      <c r="D5" s="4" t="s">
        <v>45</v>
      </c>
      <c r="E5">
        <v>23</v>
      </c>
      <c r="G5" s="4" t="s">
        <v>21</v>
      </c>
      <c r="H5" s="10">
        <v>3.5530516975308633</v>
      </c>
      <c r="I5" t="s">
        <v>351</v>
      </c>
    </row>
    <row r="6" spans="1:9" x14ac:dyDescent="0.3">
      <c r="A6" s="4" t="s">
        <v>334</v>
      </c>
      <c r="B6">
        <v>23</v>
      </c>
      <c r="D6" s="4" t="s">
        <v>8</v>
      </c>
      <c r="E6">
        <v>18</v>
      </c>
      <c r="G6" s="4" t="s">
        <v>45</v>
      </c>
      <c r="H6" s="10">
        <v>4.1762042069243162</v>
      </c>
      <c r="I6" t="s">
        <v>352</v>
      </c>
    </row>
    <row r="7" spans="1:9" x14ac:dyDescent="0.3">
      <c r="A7" s="4" t="s">
        <v>335</v>
      </c>
      <c r="B7">
        <v>16</v>
      </c>
      <c r="D7" s="4" t="s">
        <v>31</v>
      </c>
      <c r="E7">
        <v>15</v>
      </c>
      <c r="G7" s="4" t="s">
        <v>8</v>
      </c>
      <c r="H7" s="10">
        <v>4.2952430555555559</v>
      </c>
    </row>
    <row r="8" spans="1:9" x14ac:dyDescent="0.3">
      <c r="A8" s="4" t="s">
        <v>336</v>
      </c>
      <c r="B8">
        <v>20</v>
      </c>
      <c r="D8" s="4" t="s">
        <v>81</v>
      </c>
      <c r="E8">
        <v>12</v>
      </c>
      <c r="G8" s="4" t="s">
        <v>60</v>
      </c>
      <c r="H8" s="10">
        <v>8.1520122354497353</v>
      </c>
    </row>
    <row r="9" spans="1:9" x14ac:dyDescent="0.3">
      <c r="A9" s="4" t="s">
        <v>337</v>
      </c>
      <c r="B9">
        <v>150</v>
      </c>
      <c r="D9" s="4" t="s">
        <v>60</v>
      </c>
      <c r="E9">
        <v>7</v>
      </c>
      <c r="G9" s="4" t="s">
        <v>13</v>
      </c>
      <c r="H9" s="10">
        <v>4.5569324164851137</v>
      </c>
    </row>
    <row r="10" spans="1:9" x14ac:dyDescent="0.3">
      <c r="D10" s="4" t="s">
        <v>337</v>
      </c>
      <c r="E10">
        <v>150</v>
      </c>
      <c r="G10" s="4" t="s">
        <v>337</v>
      </c>
      <c r="H10" s="10">
        <v>4.4413843364197518</v>
      </c>
    </row>
    <row r="11" spans="1:9" x14ac:dyDescent="0.3">
      <c r="A11" s="4" t="s">
        <v>340</v>
      </c>
    </row>
    <row r="12" spans="1:9" x14ac:dyDescent="0.3">
      <c r="A12" s="4" t="s">
        <v>339</v>
      </c>
      <c r="D12" s="3" t="s">
        <v>347</v>
      </c>
      <c r="E12" t="s">
        <v>364</v>
      </c>
      <c r="G12" s="3" t="s">
        <v>346</v>
      </c>
      <c r="H12" t="s">
        <v>364</v>
      </c>
      <c r="I12" t="s">
        <v>353</v>
      </c>
    </row>
    <row r="13" spans="1:9" x14ac:dyDescent="0.3">
      <c r="A13" s="4" t="s">
        <v>341</v>
      </c>
      <c r="D13" s="4" t="s">
        <v>9</v>
      </c>
      <c r="E13" s="10">
        <v>2.2718634259259258</v>
      </c>
      <c r="G13" s="4" t="s">
        <v>115</v>
      </c>
      <c r="H13" s="10">
        <v>0.18400462962962966</v>
      </c>
      <c r="I13" t="s">
        <v>354</v>
      </c>
    </row>
    <row r="14" spans="1:9" x14ac:dyDescent="0.3">
      <c r="A14" s="4" t="s">
        <v>342</v>
      </c>
      <c r="D14" s="4" t="s">
        <v>46</v>
      </c>
      <c r="E14" s="10">
        <v>2.7878207671957673</v>
      </c>
      <c r="G14" s="4" t="s">
        <v>11</v>
      </c>
      <c r="H14" s="10">
        <v>0.5565282407407407</v>
      </c>
      <c r="I14" t="s">
        <v>355</v>
      </c>
    </row>
    <row r="15" spans="1:9" x14ac:dyDescent="0.3">
      <c r="A15" s="4" t="s">
        <v>344</v>
      </c>
      <c r="D15" s="4" t="s">
        <v>25</v>
      </c>
      <c r="E15" s="10">
        <v>2.9479451566951562</v>
      </c>
      <c r="G15" s="4" t="s">
        <v>29</v>
      </c>
      <c r="H15" s="10">
        <v>8.7617464878671747</v>
      </c>
      <c r="I15" t="s">
        <v>356</v>
      </c>
    </row>
    <row r="16" spans="1:9" x14ac:dyDescent="0.3">
      <c r="A16" t="s">
        <v>343</v>
      </c>
      <c r="D16" s="4" t="s">
        <v>42</v>
      </c>
      <c r="E16" s="10">
        <v>3.8658289930555556</v>
      </c>
      <c r="G16" s="4" t="s">
        <v>16</v>
      </c>
      <c r="H16" s="10">
        <v>2.2758274544385655</v>
      </c>
    </row>
    <row r="17" spans="4:8" x14ac:dyDescent="0.3">
      <c r="D17" s="4" t="s">
        <v>14</v>
      </c>
      <c r="E17" s="10">
        <v>3.9202139060356651</v>
      </c>
      <c r="G17" s="4" t="s">
        <v>337</v>
      </c>
      <c r="H17" s="10">
        <v>4.4413843364197536</v>
      </c>
    </row>
    <row r="18" spans="4:8" x14ac:dyDescent="0.3">
      <c r="D18" s="4" t="s">
        <v>22</v>
      </c>
      <c r="E18" s="10">
        <v>4.1845547385620918</v>
      </c>
    </row>
    <row r="19" spans="4:8" x14ac:dyDescent="0.3">
      <c r="D19" s="4" t="s">
        <v>55</v>
      </c>
      <c r="E19" s="10">
        <v>5.3694401041666673</v>
      </c>
      <c r="G19" s="8" t="s">
        <v>357</v>
      </c>
    </row>
    <row r="20" spans="4:8" x14ac:dyDescent="0.3">
      <c r="D20" s="4" t="s">
        <v>18</v>
      </c>
      <c r="E20" s="10">
        <v>5.5702980324074067</v>
      </c>
      <c r="G20" s="4" t="s">
        <v>358</v>
      </c>
    </row>
    <row r="21" spans="4:8" x14ac:dyDescent="0.3">
      <c r="D21" s="4" t="s">
        <v>32</v>
      </c>
      <c r="E21" s="10">
        <v>6.0508673747276678</v>
      </c>
      <c r="G21" s="4" t="s">
        <v>359</v>
      </c>
    </row>
    <row r="22" spans="4:8" x14ac:dyDescent="0.3">
      <c r="D22" s="4" t="s">
        <v>35</v>
      </c>
      <c r="E22" s="10">
        <v>6.852135030864198</v>
      </c>
      <c r="G22" s="4" t="s">
        <v>360</v>
      </c>
    </row>
    <row r="23" spans="4:8" x14ac:dyDescent="0.3">
      <c r="D23" s="4" t="s">
        <v>337</v>
      </c>
      <c r="E23" s="10">
        <v>4.4413843364197545</v>
      </c>
      <c r="G23" s="4" t="s">
        <v>361</v>
      </c>
    </row>
    <row r="24" spans="4:8" x14ac:dyDescent="0.3">
      <c r="D24" s="4" t="s">
        <v>365</v>
      </c>
      <c r="G24" s="8" t="s">
        <v>362</v>
      </c>
      <c r="H24" s="9"/>
    </row>
    <row r="25" spans="4:8" x14ac:dyDescent="0.3">
      <c r="D25" s="4" t="s">
        <v>366</v>
      </c>
      <c r="G25" s="4" t="s">
        <v>363</v>
      </c>
    </row>
    <row r="26" spans="4:8" x14ac:dyDescent="0.3">
      <c r="D26" s="4" t="s">
        <v>367</v>
      </c>
    </row>
    <row r="27" spans="4:8" x14ac:dyDescent="0.3">
      <c r="D27" s="4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5564-E066-4465-B1A5-8C2D64D1CA84}">
  <dimension ref="A1:A8"/>
  <sheetViews>
    <sheetView workbookViewId="0">
      <selection activeCell="H18" sqref="H18"/>
    </sheetView>
  </sheetViews>
  <sheetFormatPr defaultRowHeight="14.4" x14ac:dyDescent="0.3"/>
  <sheetData>
    <row r="1" spans="1:1" ht="21" x14ac:dyDescent="0.4">
      <c r="A1" s="17" t="s">
        <v>370</v>
      </c>
    </row>
    <row r="3" spans="1:1" x14ac:dyDescent="0.3">
      <c r="A3" t="s">
        <v>371</v>
      </c>
    </row>
    <row r="4" spans="1:1" x14ac:dyDescent="0.3">
      <c r="A4" t="s">
        <v>372</v>
      </c>
    </row>
    <row r="5" spans="1:1" x14ac:dyDescent="0.3">
      <c r="A5" t="s">
        <v>373</v>
      </c>
    </row>
    <row r="6" spans="1:1" x14ac:dyDescent="0.3">
      <c r="A6" t="s">
        <v>374</v>
      </c>
    </row>
    <row r="7" spans="1:1" x14ac:dyDescent="0.3">
      <c r="A7" t="s">
        <v>375</v>
      </c>
    </row>
    <row r="8" spans="1:1" x14ac:dyDescent="0.3">
      <c r="A8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help_desk_tickets</vt:lpstr>
      <vt:lpstr>summary Dasboard</vt:lpstr>
      <vt:lpstr>Data &amp;Calculations</vt:lpstr>
      <vt:lpstr>Detailed 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Srinu Chinnu</dc:creator>
  <cp:lastModifiedBy>sridevigiduthuri97@gmail.com</cp:lastModifiedBy>
  <dcterms:created xsi:type="dcterms:W3CDTF">2026-03-20T14:30:05Z</dcterms:created>
  <dcterms:modified xsi:type="dcterms:W3CDTF">2026-03-20T19:39:57Z</dcterms:modified>
</cp:coreProperties>
</file>