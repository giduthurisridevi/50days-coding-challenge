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rinu\Downloads\"/>
    </mc:Choice>
  </mc:AlternateContent>
  <xr:revisionPtr revIDLastSave="0" documentId="8_{934A1379-2406-4E7E-B918-3EE7D4C49B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llenge_Instructions" sheetId="1" r:id="rId1"/>
    <sheet name="Sales_Data" sheetId="2" r:id="rId2"/>
    <sheet name="Sheet1" sheetId="4" r:id="rId3"/>
  </sheets>
  <definedNames>
    <definedName name="_xlnm.Print_Area" localSheetId="2">Sheet1!$A$1:$O$26</definedName>
  </definedNames>
  <calcPr calcId="191029"/>
  <pivotCaches>
    <pivotCache cacheId="13" r:id="rId4"/>
  </pivotCaches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</calcChain>
</file>

<file path=xl/sharedStrings.xml><?xml version="1.0" encoding="utf-8"?>
<sst xmlns="http://schemas.openxmlformats.org/spreadsheetml/2006/main" count="852" uniqueCount="247">
  <si>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</si>
  <si>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</si>
  <si>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</si>
  <si>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</si>
  <si>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</si>
  <si>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</si>
  <si>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</si>
  <si>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</si>
  <si>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</si>
  <si>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</si>
  <si>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</si>
  <si>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</si>
  <si>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</si>
  <si>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</si>
  <si>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</si>
  <si>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</si>
  <si>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</si>
  <si>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</si>
  <si>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</si>
  <si>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</si>
  <si>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</si>
  <si>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</si>
  <si>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</si>
  <si>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</si>
  <si>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</si>
  <si>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</si>
  <si>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</si>
  <si>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</si>
  <si>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</si>
  <si>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</si>
  <si>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</si>
  <si>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</si>
  <si>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</si>
  <si>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</si>
  <si>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</si>
  <si>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</si>
  <si>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</si>
  <si>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</si>
  <si>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</si>
  <si>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</si>
  <si>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</si>
  <si>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</si>
  <si>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</si>
  <si>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</si>
  <si>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</si>
  <si>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</si>
  <si>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</si>
  <si>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</si>
  <si>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</si>
  <si>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</si>
  <si>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</si>
  <si>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</si>
  <si>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</si>
  <si>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</si>
  <si>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</si>
  <si>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</si>
  <si>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</si>
  <si>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</si>
  <si>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</si>
  <si>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</si>
  <si>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</si>
  <si>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</si>
  <si>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</si>
  <si>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</si>
  <si>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</si>
  <si>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</si>
  <si>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</si>
  <si>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</si>
  <si>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</si>
  <si>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</si>
  <si>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</si>
  <si>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</si>
  <si>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</si>
  <si>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</si>
  <si>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</si>
  <si>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</si>
  <si>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</si>
  <si>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</si>
  <si>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</si>
  <si>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</si>
  <si>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</si>
  <si>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</si>
  <si>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</si>
  <si>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</si>
  <si>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</si>
  <si>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</si>
  <si>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</si>
  <si>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</si>
  <si>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</si>
  <si>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</si>
  <si>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</si>
  <si>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</si>
  <si>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</si>
  <si>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</si>
  <si>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</si>
  <si>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</si>
  <si>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</si>
  <si>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</si>
  <si>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</si>
  <si>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</si>
  <si>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</si>
  <si>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</si>
  <si>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</si>
  <si>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</si>
  <si>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</si>
  <si>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</si>
  <si>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</si>
  <si>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</si>
  <si>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</si>
  <si>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</si>
  <si>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</si>
  <si>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</si>
  <si>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</si>
  <si>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</si>
  <si>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</si>
  <si>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</si>
  <si>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</si>
  <si>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</si>
  <si>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</si>
  <si>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</si>
  <si>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</si>
  <si>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</si>
  <si>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</si>
  <si>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</si>
  <si>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</si>
  <si>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</si>
  <si>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</si>
  <si>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</si>
  <si>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</si>
  <si>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</si>
  <si>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</si>
  <si>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</si>
  <si>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</si>
  <si>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</si>
  <si>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</si>
  <si>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</si>
  <si>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</si>
  <si>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</si>
  <si>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</si>
  <si>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</si>
  <si>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</si>
  <si>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</si>
  <si>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</si>
  <si>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</si>
  <si>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</si>
  <si>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</si>
  <si>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</si>
  <si>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</si>
  <si>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</si>
  <si>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</si>
  <si>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</si>
  <si>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</si>
  <si>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</si>
  <si>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</si>
  <si>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</si>
  <si>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</si>
  <si>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</si>
  <si>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</si>
  <si>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</si>
  <si>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</si>
  <si>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</si>
  <si>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</si>
  <si>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</si>
  <si>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</si>
  <si>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</si>
  <si>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</si>
  <si>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</si>
  <si>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</si>
  <si>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</si>
  <si>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</si>
  <si>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</si>
  <si>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</si>
  <si>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</si>
  <si>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</si>
  <si>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</si>
  <si>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</si>
  <si>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</si>
  <si>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</si>
  <si>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</si>
  <si>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</si>
  <si>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</si>
  <si>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</si>
  <si>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</si>
  <si>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</si>
  <si>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</si>
  <si>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</si>
  <si>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</si>
  <si>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</si>
  <si>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</si>
  <si>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</si>
  <si>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</si>
  <si>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</si>
  <si>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</si>
  <si>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</si>
  <si>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</si>
  <si>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</si>
  <si>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</si>
  <si>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</si>
  <si>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</si>
  <si>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</si>
  <si>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</si>
  <si>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</si>
  <si>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</si>
  <si>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</si>
  <si>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</si>
  <si>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</si>
  <si>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</si>
  <si>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</si>
  <si>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</si>
  <si>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</si>
  <si>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</si>
  <si>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</si>
  <si>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</si>
  <si>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</si>
  <si>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</si>
  <si>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</si>
  <si>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</si>
  <si>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</si>
  <si>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</si>
  <si>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</si>
  <si>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</si>
  <si>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</si>
  <si>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</si>
  <si>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</si>
  <si>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</si>
  <si>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</si>
  <si>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</si>
  <si>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</si>
  <si>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</si>
  <si>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</si>
  <si>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</si>
  <si>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</si>
  <si>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</si>
  <si>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</si>
  <si>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</si>
  <si>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</si>
  <si>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</si>
  <si>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</si>
  <si>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</si>
  <si>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</si>
  <si>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</si>
  <si>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</si>
  <si>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</si>
  <si>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</si>
  <si>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Grand Total</t>
  </si>
  <si>
    <t>Sum of Total Revenue</t>
  </si>
  <si>
    <t>Sales Revenue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</si>
</sst>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5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 1 excel sales analysis.xlsx]Sheet1!PivotTable6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50219551939894"/>
          <c:y val="0.26616907261592299"/>
          <c:w val="0.74956338396089117"/>
          <c:h val="0.52644757946923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Sheet1!$F$4:$F$8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0-4FCB-A597-52D90FAA7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72701663"/>
        <c:axId val="572701183"/>
      </c:barChart>
      <c:catAx>
        <c:axId val="572701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01183"/>
        <c:crosses val="autoZero"/>
        <c:auto val="1"/>
        <c:lblAlgn val="ctr"/>
        <c:lblOffset val="100"/>
        <c:noMultiLvlLbl val="0"/>
      </c:catAx>
      <c:valAx>
        <c:axId val="5727011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0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8</xdr:row>
      <xdr:rowOff>57150</xdr:rowOff>
    </xdr:from>
    <xdr:to>
      <xdr:col>8</xdr:col>
      <xdr:colOff>548640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A2DDA-C88A-4812-9EC2-8E606914F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u dhuli" refreshedDate="46097.580241087962" createdVersion="8" refreshedVersion="8" minRefreshableVersion="3" recordCount="200" xr:uid="{BB24B5BB-0558-4F8E-BEE9-2314457A6B9F}">
  <cacheSource type="worksheet">
    <worksheetSource name="Table1"/>
  </cacheSource>
  <cacheFields count="8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 count="192">
        <n v="852"/>
        <n v="3560"/>
        <n v="7860"/>
        <n v="40"/>
        <n v="74"/>
        <n v="1944"/>
        <n v="560"/>
        <n v="1474"/>
        <n v="647"/>
        <n v="4086"/>
        <n v="3003"/>
        <n v="1358"/>
        <n v="2012"/>
        <n v="42"/>
        <n v="3066"/>
        <n v="1410"/>
        <n v="3876"/>
        <n v="375"/>
        <n v="1896"/>
        <n v="3245"/>
        <n v="7100"/>
        <n v="6272"/>
        <n v="899"/>
        <n v="3656"/>
        <n v="5283"/>
        <n v="1680"/>
        <n v="3044"/>
        <n v="54"/>
        <n v="1053"/>
        <n v="1310"/>
        <n v="960"/>
        <n v="1490"/>
        <n v="2875"/>
        <n v="2530"/>
        <n v="4452"/>
        <n v="1143"/>
        <n v="120"/>
        <n v="2169"/>
        <n v="284"/>
        <n v="3470"/>
        <n v="2160"/>
        <n v="8060"/>
        <n v="1008"/>
        <n v="1883"/>
        <n v="1568"/>
        <n v="1000"/>
        <n v="1500"/>
        <n v="428"/>
        <n v="1638"/>
        <n v="7024"/>
        <n v="124"/>
        <n v="1431"/>
        <n v="2590"/>
        <n v="1281"/>
        <n v="840"/>
        <n v="2208"/>
        <n v="76"/>
        <n v="441"/>
        <n v="1646"/>
        <n v="745"/>
        <n v="5530"/>
        <n v="6720"/>
        <n v="382"/>
        <n v="920"/>
        <n v="228"/>
        <n v="2286"/>
        <n v="192"/>
        <n v="685"/>
        <n v="44"/>
        <n v="590"/>
        <n v="2336"/>
        <n v="210"/>
        <n v="3280"/>
        <n v="1356"/>
        <n v="1955"/>
        <n v="580"/>
        <n v="5130"/>
        <n v="1180"/>
        <n v="3296"/>
        <n v="715"/>
        <n v="1900"/>
        <n v="1881"/>
        <n v="7240"/>
        <n v="4680"/>
        <n v="1434"/>
        <n v="2673"/>
        <n v="3311"/>
        <n v="7192"/>
        <n v="497"/>
        <n v="684"/>
        <n v="1704"/>
        <n v="1628"/>
        <n v="2250"/>
        <n v="4860"/>
        <n v="505"/>
        <n v="1028"/>
        <n v="1800"/>
        <n v="390"/>
        <n v="1700"/>
        <n v="1956"/>
        <n v="1022"/>
        <n v="1757"/>
        <n v="1515"/>
        <n v="2772"/>
        <n v="460"/>
        <n v="6984"/>
        <n v="4952"/>
        <n v="2622"/>
        <n v="7281"/>
        <n v="1102"/>
        <n v="2172"/>
        <n v="1640"/>
        <n v="2334"/>
        <n v="378"/>
        <n v="1035"/>
        <n v="7767"/>
        <n v="1866"/>
        <n v="3753"/>
        <n v="747"/>
        <n v="7130"/>
        <n v="1960"/>
        <n v="482"/>
        <n v="400"/>
        <n v="891"/>
        <n v="2763"/>
        <n v="2046"/>
        <n v="1632"/>
        <n v="705"/>
        <n v="1448"/>
        <n v="1586"/>
        <n v="1108"/>
        <n v="2972"/>
        <n v="579"/>
        <n v="851"/>
        <n v="2240"/>
        <n v="2079"/>
        <n v="1528"/>
        <n v="2395"/>
        <n v="876"/>
        <n v="2465"/>
        <n v="1290"/>
        <n v="5957"/>
        <n v="3976"/>
        <n v="1444"/>
        <n v="996"/>
        <n v="450"/>
        <n v="1312"/>
        <n v="3460"/>
        <n v="2133"/>
        <n v="2628"/>
        <n v="2112"/>
        <n v="5033"/>
        <n v="1897"/>
        <n v="5019"/>
        <n v="725"/>
        <n v="5112"/>
        <n v="5940"/>
        <n v="2376"/>
        <n v="4744"/>
        <n v="5536"/>
        <n v="4056"/>
        <n v="681"/>
        <n v="2790"/>
        <n v="787"/>
        <n v="1230"/>
        <n v="296"/>
        <n v="139"/>
        <n v="1690"/>
        <n v="117"/>
        <n v="2597"/>
        <n v="1200"/>
        <n v="2244"/>
        <n v="798"/>
        <n v="3610"/>
        <n v="408"/>
        <n v="2016"/>
        <n v="1854"/>
        <n v="2768"/>
        <n v="818"/>
        <n v="324"/>
        <n v="2793"/>
        <n v="8900"/>
        <n v="2375"/>
        <n v="5640"/>
        <n v="5800"/>
        <n v="1631"/>
        <n v="2040"/>
        <n v="490"/>
        <n v="750"/>
        <n v="1452"/>
        <n v="3055"/>
        <n v="12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x v="0"/>
    <n v="6"/>
    <n v="142"/>
    <x v="0"/>
  </r>
  <r>
    <s v="ORD0002"/>
    <d v="2025-01-29T00:00:00"/>
    <x v="1"/>
    <x v="1"/>
    <x v="1"/>
    <n v="4"/>
    <n v="890"/>
    <x v="1"/>
  </r>
  <r>
    <s v="ORD0003"/>
    <d v="2025-02-13T00:00:00"/>
    <x v="0"/>
    <x v="0"/>
    <x v="0"/>
    <n v="10"/>
    <n v="786"/>
    <x v="2"/>
  </r>
  <r>
    <s v="ORD0004"/>
    <d v="2025-01-05T00:00:00"/>
    <x v="0"/>
    <x v="2"/>
    <x v="2"/>
    <n v="2"/>
    <n v="20"/>
    <x v="3"/>
  </r>
  <r>
    <s v="ORD0005"/>
    <d v="2025-02-04T00:00:00"/>
    <x v="0"/>
    <x v="2"/>
    <x v="2"/>
    <n v="1"/>
    <n v="74"/>
    <x v="4"/>
  </r>
  <r>
    <s v="ORD0006"/>
    <d v="2025-02-23T00:00:00"/>
    <x v="0"/>
    <x v="1"/>
    <x v="1"/>
    <n v="4"/>
    <n v="486"/>
    <x v="5"/>
  </r>
  <r>
    <s v="ORD0007"/>
    <d v="2025-01-23T00:00:00"/>
    <x v="0"/>
    <x v="0"/>
    <x v="0"/>
    <n v="1"/>
    <n v="560"/>
    <x v="6"/>
  </r>
  <r>
    <s v="ORD0008"/>
    <d v="2025-02-27T00:00:00"/>
    <x v="1"/>
    <x v="3"/>
    <x v="0"/>
    <n v="2"/>
    <n v="737"/>
    <x v="7"/>
  </r>
  <r>
    <s v="ORD0009"/>
    <d v="2025-01-02T00:00:00"/>
    <x v="2"/>
    <x v="0"/>
    <x v="0"/>
    <n v="1"/>
    <n v="647"/>
    <x v="8"/>
  </r>
  <r>
    <s v="ORD0010"/>
    <d v="2025-02-14T00:00:00"/>
    <x v="0"/>
    <x v="4"/>
    <x v="2"/>
    <n v="6"/>
    <n v="681"/>
    <x v="9"/>
  </r>
  <r>
    <s v="ORD0011"/>
    <d v="2025-02-15T00:00:00"/>
    <x v="3"/>
    <x v="5"/>
    <x v="2"/>
    <n v="7"/>
    <n v="429"/>
    <x v="10"/>
  </r>
  <r>
    <s v="ORD0012"/>
    <d v="2025-01-22T00:00:00"/>
    <x v="2"/>
    <x v="6"/>
    <x v="2"/>
    <n v="7"/>
    <n v="194"/>
    <x v="11"/>
  </r>
  <r>
    <s v="ORD0013"/>
    <d v="2025-02-23T00:00:00"/>
    <x v="0"/>
    <x v="3"/>
    <x v="0"/>
    <n v="4"/>
    <n v="503"/>
    <x v="12"/>
  </r>
  <r>
    <s v="ORD0014"/>
    <d v="2025-02-03T00:00:00"/>
    <x v="1"/>
    <x v="2"/>
    <x v="2"/>
    <n v="2"/>
    <n v="21"/>
    <x v="13"/>
  </r>
  <r>
    <s v="ORD0015"/>
    <d v="2025-02-05T00:00:00"/>
    <x v="3"/>
    <x v="2"/>
    <x v="2"/>
    <n v="6"/>
    <n v="511"/>
    <x v="14"/>
  </r>
  <r>
    <s v="ORD0016"/>
    <d v="2025-02-26T00:00:00"/>
    <x v="0"/>
    <x v="3"/>
    <x v="0"/>
    <n v="6"/>
    <n v="235"/>
    <x v="15"/>
  </r>
  <r>
    <s v="ORD0017"/>
    <d v="2025-02-01T00:00:00"/>
    <x v="1"/>
    <x v="0"/>
    <x v="0"/>
    <n v="6"/>
    <n v="646"/>
    <x v="16"/>
  </r>
  <r>
    <s v="ORD0018"/>
    <d v="2025-01-22T00:00:00"/>
    <x v="3"/>
    <x v="2"/>
    <x v="2"/>
    <n v="1"/>
    <n v="375"/>
    <x v="17"/>
  </r>
  <r>
    <s v="ORD0019"/>
    <d v="2025-02-05T00:00:00"/>
    <x v="2"/>
    <x v="3"/>
    <x v="0"/>
    <n v="4"/>
    <n v="474"/>
    <x v="18"/>
  </r>
  <r>
    <s v="ORD0020"/>
    <d v="2025-02-11T00:00:00"/>
    <x v="0"/>
    <x v="0"/>
    <x v="0"/>
    <n v="5"/>
    <n v="649"/>
    <x v="19"/>
  </r>
  <r>
    <s v="ORD0021"/>
    <d v="2025-02-27T00:00:00"/>
    <x v="0"/>
    <x v="3"/>
    <x v="0"/>
    <n v="10"/>
    <n v="710"/>
    <x v="20"/>
  </r>
  <r>
    <s v="ORD0022"/>
    <d v="2025-01-19T00:00:00"/>
    <x v="3"/>
    <x v="1"/>
    <x v="1"/>
    <n v="7"/>
    <n v="896"/>
    <x v="21"/>
  </r>
  <r>
    <s v="ORD0023"/>
    <d v="2025-01-15T00:00:00"/>
    <x v="3"/>
    <x v="1"/>
    <x v="1"/>
    <n v="1"/>
    <n v="899"/>
    <x v="22"/>
  </r>
  <r>
    <s v="ORD0024"/>
    <d v="2025-01-23T00:00:00"/>
    <x v="3"/>
    <x v="5"/>
    <x v="2"/>
    <n v="8"/>
    <n v="457"/>
    <x v="23"/>
  </r>
  <r>
    <s v="ORD0025"/>
    <d v="2025-01-23T00:00:00"/>
    <x v="3"/>
    <x v="1"/>
    <x v="1"/>
    <n v="9"/>
    <n v="587"/>
    <x v="24"/>
  </r>
  <r>
    <s v="ORD0026"/>
    <d v="2025-01-26T00:00:00"/>
    <x v="1"/>
    <x v="1"/>
    <x v="1"/>
    <n v="4"/>
    <n v="420"/>
    <x v="25"/>
  </r>
  <r>
    <s v="ORD0027"/>
    <d v="2025-02-18T00:00:00"/>
    <x v="2"/>
    <x v="0"/>
    <x v="0"/>
    <n v="4"/>
    <n v="761"/>
    <x v="26"/>
  </r>
  <r>
    <s v="ORD0028"/>
    <d v="2025-01-09T00:00:00"/>
    <x v="2"/>
    <x v="1"/>
    <x v="1"/>
    <n v="3"/>
    <n v="18"/>
    <x v="27"/>
  </r>
  <r>
    <s v="ORD0029"/>
    <d v="2025-02-21T00:00:00"/>
    <x v="1"/>
    <x v="4"/>
    <x v="2"/>
    <n v="3"/>
    <n v="351"/>
    <x v="28"/>
  </r>
  <r>
    <s v="ORD0030"/>
    <d v="2025-01-25T00:00:00"/>
    <x v="2"/>
    <x v="2"/>
    <x v="2"/>
    <n v="10"/>
    <n v="131"/>
    <x v="29"/>
  </r>
  <r>
    <s v="ORD0031"/>
    <d v="2025-03-01T00:00:00"/>
    <x v="0"/>
    <x v="3"/>
    <x v="0"/>
    <n v="4"/>
    <n v="240"/>
    <x v="30"/>
  </r>
  <r>
    <s v="ORD0032"/>
    <d v="2025-02-10T00:00:00"/>
    <x v="0"/>
    <x v="4"/>
    <x v="2"/>
    <n v="5"/>
    <n v="298"/>
    <x v="31"/>
  </r>
  <r>
    <s v="ORD0033"/>
    <d v="2025-03-01T00:00:00"/>
    <x v="0"/>
    <x v="3"/>
    <x v="0"/>
    <n v="5"/>
    <n v="575"/>
    <x v="32"/>
  </r>
  <r>
    <s v="ORD0034"/>
    <d v="2025-02-27T00:00:00"/>
    <x v="2"/>
    <x v="5"/>
    <x v="2"/>
    <n v="10"/>
    <n v="253"/>
    <x v="33"/>
  </r>
  <r>
    <s v="ORD0035"/>
    <d v="2025-03-01T00:00:00"/>
    <x v="3"/>
    <x v="1"/>
    <x v="1"/>
    <n v="7"/>
    <n v="636"/>
    <x v="34"/>
  </r>
  <r>
    <s v="ORD0036"/>
    <d v="2025-01-29T00:00:00"/>
    <x v="3"/>
    <x v="4"/>
    <x v="2"/>
    <n v="9"/>
    <n v="127"/>
    <x v="35"/>
  </r>
  <r>
    <s v="ORD0037"/>
    <d v="2025-02-01T00:00:00"/>
    <x v="1"/>
    <x v="4"/>
    <x v="2"/>
    <n v="1"/>
    <n v="120"/>
    <x v="36"/>
  </r>
  <r>
    <s v="ORD0038"/>
    <d v="2025-02-03T00:00:00"/>
    <x v="2"/>
    <x v="1"/>
    <x v="1"/>
    <n v="9"/>
    <n v="241"/>
    <x v="37"/>
  </r>
  <r>
    <s v="ORD0039"/>
    <d v="2025-01-05T00:00:00"/>
    <x v="3"/>
    <x v="3"/>
    <x v="0"/>
    <n v="1"/>
    <n v="284"/>
    <x v="38"/>
  </r>
  <r>
    <s v="ORD0040"/>
    <d v="2025-02-22T00:00:00"/>
    <x v="3"/>
    <x v="0"/>
    <x v="0"/>
    <n v="5"/>
    <n v="694"/>
    <x v="39"/>
  </r>
  <r>
    <s v="ORD0041"/>
    <d v="2025-02-21T00:00:00"/>
    <x v="1"/>
    <x v="6"/>
    <x v="2"/>
    <n v="10"/>
    <n v="216"/>
    <x v="40"/>
  </r>
  <r>
    <s v="ORD0042"/>
    <d v="2025-02-22T00:00:00"/>
    <x v="2"/>
    <x v="0"/>
    <x v="0"/>
    <n v="10"/>
    <n v="806"/>
    <x v="41"/>
  </r>
  <r>
    <s v="ORD0043"/>
    <d v="2025-01-12T00:00:00"/>
    <x v="2"/>
    <x v="4"/>
    <x v="2"/>
    <n v="3"/>
    <n v="336"/>
    <x v="42"/>
  </r>
  <r>
    <s v="ORD0044"/>
    <d v="2025-01-21T00:00:00"/>
    <x v="3"/>
    <x v="2"/>
    <x v="2"/>
    <n v="7"/>
    <n v="269"/>
    <x v="43"/>
  </r>
  <r>
    <s v="ORD0045"/>
    <d v="2025-01-12T00:00:00"/>
    <x v="2"/>
    <x v="4"/>
    <x v="2"/>
    <n v="2"/>
    <n v="784"/>
    <x v="44"/>
  </r>
  <r>
    <s v="ORD0046"/>
    <d v="2025-01-11T00:00:00"/>
    <x v="0"/>
    <x v="2"/>
    <x v="2"/>
    <n v="5"/>
    <n v="282"/>
    <x v="15"/>
  </r>
  <r>
    <s v="ORD0047"/>
    <d v="2025-02-19T00:00:00"/>
    <x v="0"/>
    <x v="3"/>
    <x v="0"/>
    <n v="8"/>
    <n v="125"/>
    <x v="45"/>
  </r>
  <r>
    <s v="ORD0048"/>
    <d v="2025-01-08T00:00:00"/>
    <x v="3"/>
    <x v="2"/>
    <x v="2"/>
    <n v="10"/>
    <n v="150"/>
    <x v="46"/>
  </r>
  <r>
    <s v="ORD0049"/>
    <d v="2025-03-02T00:00:00"/>
    <x v="2"/>
    <x v="2"/>
    <x v="2"/>
    <n v="1"/>
    <n v="428"/>
    <x v="47"/>
  </r>
  <r>
    <s v="ORD0050"/>
    <d v="2025-02-05T00:00:00"/>
    <x v="0"/>
    <x v="2"/>
    <x v="2"/>
    <n v="9"/>
    <n v="182"/>
    <x v="48"/>
  </r>
  <r>
    <s v="ORD0051"/>
    <d v="2025-02-06T00:00:00"/>
    <x v="0"/>
    <x v="0"/>
    <x v="0"/>
    <n v="8"/>
    <n v="878"/>
    <x v="49"/>
  </r>
  <r>
    <s v="ORD0052"/>
    <d v="2025-02-16T00:00:00"/>
    <x v="3"/>
    <x v="5"/>
    <x v="2"/>
    <n v="4"/>
    <n v="31"/>
    <x v="50"/>
  </r>
  <r>
    <s v="ORD0053"/>
    <d v="2025-01-08T00:00:00"/>
    <x v="0"/>
    <x v="4"/>
    <x v="2"/>
    <n v="9"/>
    <n v="159"/>
    <x v="51"/>
  </r>
  <r>
    <s v="ORD0054"/>
    <d v="2025-01-03T00:00:00"/>
    <x v="2"/>
    <x v="2"/>
    <x v="2"/>
    <n v="10"/>
    <n v="259"/>
    <x v="52"/>
  </r>
  <r>
    <s v="ORD0055"/>
    <d v="2025-02-06T00:00:00"/>
    <x v="0"/>
    <x v="3"/>
    <x v="0"/>
    <n v="3"/>
    <n v="427"/>
    <x v="53"/>
  </r>
  <r>
    <s v="ORD0056"/>
    <d v="2025-02-04T00:00:00"/>
    <x v="0"/>
    <x v="4"/>
    <x v="2"/>
    <n v="8"/>
    <n v="105"/>
    <x v="54"/>
  </r>
  <r>
    <s v="ORD0057"/>
    <d v="2025-01-10T00:00:00"/>
    <x v="2"/>
    <x v="2"/>
    <x v="2"/>
    <n v="8"/>
    <n v="276"/>
    <x v="55"/>
  </r>
  <r>
    <s v="ORD0058"/>
    <d v="2025-02-27T00:00:00"/>
    <x v="3"/>
    <x v="3"/>
    <x v="0"/>
    <n v="1"/>
    <n v="76"/>
    <x v="56"/>
  </r>
  <r>
    <s v="ORD0059"/>
    <d v="2025-02-02T00:00:00"/>
    <x v="0"/>
    <x v="4"/>
    <x v="2"/>
    <n v="9"/>
    <n v="49"/>
    <x v="57"/>
  </r>
  <r>
    <s v="ORD0060"/>
    <d v="2025-01-31T00:00:00"/>
    <x v="2"/>
    <x v="3"/>
    <x v="0"/>
    <n v="2"/>
    <n v="823"/>
    <x v="58"/>
  </r>
  <r>
    <s v="ORD0061"/>
    <d v="2025-02-17T00:00:00"/>
    <x v="1"/>
    <x v="6"/>
    <x v="2"/>
    <n v="5"/>
    <n v="149"/>
    <x v="59"/>
  </r>
  <r>
    <s v="ORD0062"/>
    <d v="2025-01-06T00:00:00"/>
    <x v="1"/>
    <x v="1"/>
    <x v="1"/>
    <n v="7"/>
    <n v="790"/>
    <x v="60"/>
  </r>
  <r>
    <s v="ORD0063"/>
    <d v="2025-02-16T00:00:00"/>
    <x v="0"/>
    <x v="4"/>
    <x v="2"/>
    <n v="8"/>
    <n v="840"/>
    <x v="61"/>
  </r>
  <r>
    <s v="ORD0064"/>
    <d v="2025-02-04T00:00:00"/>
    <x v="1"/>
    <x v="1"/>
    <x v="1"/>
    <n v="1"/>
    <n v="382"/>
    <x v="62"/>
  </r>
  <r>
    <s v="ORD0065"/>
    <d v="2025-02-25T00:00:00"/>
    <x v="0"/>
    <x v="1"/>
    <x v="1"/>
    <n v="2"/>
    <n v="460"/>
    <x v="63"/>
  </r>
  <r>
    <s v="ORD0066"/>
    <d v="2025-01-28T00:00:00"/>
    <x v="2"/>
    <x v="0"/>
    <x v="0"/>
    <n v="6"/>
    <n v="38"/>
    <x v="64"/>
  </r>
  <r>
    <s v="ORD0067"/>
    <d v="2025-02-13T00:00:00"/>
    <x v="2"/>
    <x v="4"/>
    <x v="2"/>
    <n v="3"/>
    <n v="762"/>
    <x v="65"/>
  </r>
  <r>
    <s v="ORD0068"/>
    <d v="2025-01-24T00:00:00"/>
    <x v="2"/>
    <x v="2"/>
    <x v="2"/>
    <n v="2"/>
    <n v="96"/>
    <x v="66"/>
  </r>
  <r>
    <s v="ORD0069"/>
    <d v="2025-01-20T00:00:00"/>
    <x v="2"/>
    <x v="6"/>
    <x v="2"/>
    <n v="1"/>
    <n v="685"/>
    <x v="67"/>
  </r>
  <r>
    <s v="ORD0070"/>
    <d v="2025-02-26T00:00:00"/>
    <x v="2"/>
    <x v="6"/>
    <x v="2"/>
    <n v="1"/>
    <n v="44"/>
    <x v="68"/>
  </r>
  <r>
    <s v="ORD0071"/>
    <d v="2025-01-13T00:00:00"/>
    <x v="1"/>
    <x v="1"/>
    <x v="1"/>
    <n v="2"/>
    <n v="295"/>
    <x v="69"/>
  </r>
  <r>
    <s v="ORD0072"/>
    <d v="2025-02-16T00:00:00"/>
    <x v="3"/>
    <x v="3"/>
    <x v="0"/>
    <n v="8"/>
    <n v="292"/>
    <x v="70"/>
  </r>
  <r>
    <s v="ORD0073"/>
    <d v="2025-02-14T00:00:00"/>
    <x v="1"/>
    <x v="2"/>
    <x v="2"/>
    <n v="3"/>
    <n v="70"/>
    <x v="71"/>
  </r>
  <r>
    <s v="ORD0074"/>
    <d v="2025-01-04T00:00:00"/>
    <x v="2"/>
    <x v="0"/>
    <x v="0"/>
    <n v="5"/>
    <n v="656"/>
    <x v="72"/>
  </r>
  <r>
    <s v="ORD0075"/>
    <d v="2025-01-02T00:00:00"/>
    <x v="2"/>
    <x v="5"/>
    <x v="2"/>
    <n v="3"/>
    <n v="452"/>
    <x v="73"/>
  </r>
  <r>
    <s v="ORD0076"/>
    <d v="2025-01-14T00:00:00"/>
    <x v="1"/>
    <x v="2"/>
    <x v="2"/>
    <n v="5"/>
    <n v="391"/>
    <x v="74"/>
  </r>
  <r>
    <s v="ORD0077"/>
    <d v="2025-02-16T00:00:00"/>
    <x v="1"/>
    <x v="2"/>
    <x v="2"/>
    <n v="2"/>
    <n v="290"/>
    <x v="75"/>
  </r>
  <r>
    <s v="ORD0078"/>
    <d v="2025-01-10T00:00:00"/>
    <x v="0"/>
    <x v="0"/>
    <x v="0"/>
    <n v="6"/>
    <n v="855"/>
    <x v="76"/>
  </r>
  <r>
    <s v="ORD0079"/>
    <d v="2025-01-01T00:00:00"/>
    <x v="0"/>
    <x v="4"/>
    <x v="2"/>
    <n v="4"/>
    <n v="295"/>
    <x v="77"/>
  </r>
  <r>
    <s v="ORD0080"/>
    <d v="2025-02-27T00:00:00"/>
    <x v="3"/>
    <x v="5"/>
    <x v="2"/>
    <n v="4"/>
    <n v="824"/>
    <x v="78"/>
  </r>
  <r>
    <s v="ORD0081"/>
    <d v="2025-01-26T00:00:00"/>
    <x v="2"/>
    <x v="2"/>
    <x v="2"/>
    <n v="1"/>
    <n v="715"/>
    <x v="79"/>
  </r>
  <r>
    <s v="ORD0082"/>
    <d v="2025-01-23T00:00:00"/>
    <x v="0"/>
    <x v="4"/>
    <x v="2"/>
    <n v="5"/>
    <n v="380"/>
    <x v="80"/>
  </r>
  <r>
    <s v="ORD0083"/>
    <d v="2025-01-16T00:00:00"/>
    <x v="1"/>
    <x v="6"/>
    <x v="2"/>
    <n v="9"/>
    <n v="209"/>
    <x v="81"/>
  </r>
  <r>
    <s v="ORD0084"/>
    <d v="2025-01-23T00:00:00"/>
    <x v="0"/>
    <x v="2"/>
    <x v="2"/>
    <n v="10"/>
    <n v="724"/>
    <x v="82"/>
  </r>
  <r>
    <s v="ORD0085"/>
    <d v="2025-01-12T00:00:00"/>
    <x v="1"/>
    <x v="5"/>
    <x v="2"/>
    <n v="6"/>
    <n v="780"/>
    <x v="83"/>
  </r>
  <r>
    <s v="ORD0086"/>
    <d v="2025-02-25T00:00:00"/>
    <x v="1"/>
    <x v="0"/>
    <x v="0"/>
    <n v="6"/>
    <n v="239"/>
    <x v="84"/>
  </r>
  <r>
    <s v="ORD0087"/>
    <d v="2025-01-25T00:00:00"/>
    <x v="0"/>
    <x v="4"/>
    <x v="2"/>
    <n v="9"/>
    <n v="297"/>
    <x v="85"/>
  </r>
  <r>
    <s v="ORD0088"/>
    <d v="2025-01-08T00:00:00"/>
    <x v="1"/>
    <x v="6"/>
    <x v="2"/>
    <n v="7"/>
    <n v="473"/>
    <x v="86"/>
  </r>
  <r>
    <s v="ORD0089"/>
    <d v="2025-02-14T00:00:00"/>
    <x v="2"/>
    <x v="5"/>
    <x v="2"/>
    <n v="8"/>
    <n v="899"/>
    <x v="87"/>
  </r>
  <r>
    <s v="ORD0090"/>
    <d v="2025-01-04T00:00:00"/>
    <x v="3"/>
    <x v="5"/>
    <x v="2"/>
    <n v="7"/>
    <n v="71"/>
    <x v="88"/>
  </r>
  <r>
    <s v="ORD0091"/>
    <d v="2025-02-26T00:00:00"/>
    <x v="3"/>
    <x v="6"/>
    <x v="2"/>
    <n v="1"/>
    <n v="684"/>
    <x v="89"/>
  </r>
  <r>
    <s v="ORD0092"/>
    <d v="2025-01-01T00:00:00"/>
    <x v="1"/>
    <x v="1"/>
    <x v="1"/>
    <n v="6"/>
    <n v="284"/>
    <x v="90"/>
  </r>
  <r>
    <s v="ORD0093"/>
    <d v="2025-02-05T00:00:00"/>
    <x v="2"/>
    <x v="6"/>
    <x v="2"/>
    <n v="2"/>
    <n v="814"/>
    <x v="91"/>
  </r>
  <r>
    <s v="ORD0094"/>
    <d v="2025-02-26T00:00:00"/>
    <x v="3"/>
    <x v="5"/>
    <x v="2"/>
    <n v="3"/>
    <n v="750"/>
    <x v="92"/>
  </r>
  <r>
    <s v="ORD0095"/>
    <d v="2025-02-18T00:00:00"/>
    <x v="1"/>
    <x v="1"/>
    <x v="1"/>
    <n v="6"/>
    <n v="810"/>
    <x v="93"/>
  </r>
  <r>
    <s v="ORD0096"/>
    <d v="2025-02-02T00:00:00"/>
    <x v="1"/>
    <x v="1"/>
    <x v="1"/>
    <n v="1"/>
    <n v="505"/>
    <x v="94"/>
  </r>
  <r>
    <s v="ORD0097"/>
    <d v="2025-01-19T00:00:00"/>
    <x v="3"/>
    <x v="4"/>
    <x v="2"/>
    <n v="4"/>
    <n v="257"/>
    <x v="95"/>
  </r>
  <r>
    <s v="ORD0098"/>
    <d v="2025-02-02T00:00:00"/>
    <x v="2"/>
    <x v="2"/>
    <x v="2"/>
    <n v="6"/>
    <n v="300"/>
    <x v="96"/>
  </r>
  <r>
    <s v="ORD0099"/>
    <d v="2025-01-16T00:00:00"/>
    <x v="2"/>
    <x v="2"/>
    <x v="2"/>
    <n v="6"/>
    <n v="65"/>
    <x v="97"/>
  </r>
  <r>
    <s v="ORD0100"/>
    <d v="2025-02-24T00:00:00"/>
    <x v="2"/>
    <x v="3"/>
    <x v="0"/>
    <n v="5"/>
    <n v="340"/>
    <x v="98"/>
  </r>
  <r>
    <s v="ORD0101"/>
    <d v="2025-02-14T00:00:00"/>
    <x v="0"/>
    <x v="5"/>
    <x v="2"/>
    <n v="6"/>
    <n v="326"/>
    <x v="99"/>
  </r>
  <r>
    <s v="ORD0102"/>
    <d v="2025-01-22T00:00:00"/>
    <x v="2"/>
    <x v="6"/>
    <x v="2"/>
    <n v="7"/>
    <n v="146"/>
    <x v="100"/>
  </r>
  <r>
    <s v="ORD0103"/>
    <d v="2025-02-21T00:00:00"/>
    <x v="0"/>
    <x v="4"/>
    <x v="2"/>
    <n v="7"/>
    <n v="251"/>
    <x v="101"/>
  </r>
  <r>
    <s v="ORD0104"/>
    <d v="2025-03-01T00:00:00"/>
    <x v="2"/>
    <x v="0"/>
    <x v="0"/>
    <n v="5"/>
    <n v="303"/>
    <x v="102"/>
  </r>
  <r>
    <s v="ORD0105"/>
    <d v="2025-02-27T00:00:00"/>
    <x v="1"/>
    <x v="1"/>
    <x v="1"/>
    <n v="7"/>
    <n v="396"/>
    <x v="103"/>
  </r>
  <r>
    <s v="ORD0106"/>
    <d v="2025-02-27T00:00:00"/>
    <x v="1"/>
    <x v="3"/>
    <x v="0"/>
    <n v="10"/>
    <n v="46"/>
    <x v="104"/>
  </r>
  <r>
    <s v="ORD0107"/>
    <d v="2025-02-03T00:00:00"/>
    <x v="2"/>
    <x v="5"/>
    <x v="2"/>
    <n v="8"/>
    <n v="873"/>
    <x v="105"/>
  </r>
  <r>
    <s v="ORD0108"/>
    <d v="2025-01-22T00:00:00"/>
    <x v="1"/>
    <x v="1"/>
    <x v="1"/>
    <n v="8"/>
    <n v="619"/>
    <x v="106"/>
  </r>
  <r>
    <s v="ORD0109"/>
    <d v="2025-01-04T00:00:00"/>
    <x v="0"/>
    <x v="1"/>
    <x v="1"/>
    <n v="6"/>
    <n v="437"/>
    <x v="107"/>
  </r>
  <r>
    <s v="ORD0110"/>
    <d v="2025-02-01T00:00:00"/>
    <x v="3"/>
    <x v="5"/>
    <x v="2"/>
    <n v="9"/>
    <n v="809"/>
    <x v="108"/>
  </r>
  <r>
    <s v="ORD0111"/>
    <d v="2025-01-17T00:00:00"/>
    <x v="3"/>
    <x v="0"/>
    <x v="0"/>
    <n v="2"/>
    <n v="551"/>
    <x v="109"/>
  </r>
  <r>
    <s v="ORD0112"/>
    <d v="2025-01-04T00:00:00"/>
    <x v="3"/>
    <x v="5"/>
    <x v="2"/>
    <n v="6"/>
    <n v="362"/>
    <x v="110"/>
  </r>
  <r>
    <s v="ORD0113"/>
    <d v="2025-01-20T00:00:00"/>
    <x v="2"/>
    <x v="2"/>
    <x v="2"/>
    <n v="5"/>
    <n v="328"/>
    <x v="111"/>
  </r>
  <r>
    <s v="ORD0114"/>
    <d v="2025-02-20T00:00:00"/>
    <x v="3"/>
    <x v="6"/>
    <x v="2"/>
    <n v="6"/>
    <n v="389"/>
    <x v="112"/>
  </r>
  <r>
    <s v="ORD0115"/>
    <d v="2025-01-18T00:00:00"/>
    <x v="0"/>
    <x v="2"/>
    <x v="2"/>
    <n v="7"/>
    <n v="54"/>
    <x v="113"/>
  </r>
  <r>
    <s v="ORD0116"/>
    <d v="2025-02-13T00:00:00"/>
    <x v="0"/>
    <x v="3"/>
    <x v="0"/>
    <n v="3"/>
    <n v="345"/>
    <x v="114"/>
  </r>
  <r>
    <s v="ORD0117"/>
    <d v="2025-02-16T00:00:00"/>
    <x v="1"/>
    <x v="6"/>
    <x v="2"/>
    <n v="9"/>
    <n v="863"/>
    <x v="115"/>
  </r>
  <r>
    <s v="ORD0118"/>
    <d v="2025-02-23T00:00:00"/>
    <x v="3"/>
    <x v="1"/>
    <x v="1"/>
    <n v="6"/>
    <n v="311"/>
    <x v="116"/>
  </r>
  <r>
    <s v="ORD0119"/>
    <d v="2025-01-15T00:00:00"/>
    <x v="2"/>
    <x v="1"/>
    <x v="1"/>
    <n v="9"/>
    <n v="417"/>
    <x v="117"/>
  </r>
  <r>
    <s v="ORD0120"/>
    <d v="2025-02-11T00:00:00"/>
    <x v="3"/>
    <x v="0"/>
    <x v="0"/>
    <n v="1"/>
    <n v="747"/>
    <x v="118"/>
  </r>
  <r>
    <s v="ORD0121"/>
    <d v="2025-01-23T00:00:00"/>
    <x v="2"/>
    <x v="4"/>
    <x v="2"/>
    <n v="10"/>
    <n v="713"/>
    <x v="119"/>
  </r>
  <r>
    <s v="ORD0122"/>
    <d v="2025-02-14T00:00:00"/>
    <x v="0"/>
    <x v="6"/>
    <x v="2"/>
    <n v="7"/>
    <n v="280"/>
    <x v="120"/>
  </r>
  <r>
    <s v="ORD0123"/>
    <d v="2025-02-16T00:00:00"/>
    <x v="2"/>
    <x v="1"/>
    <x v="1"/>
    <n v="2"/>
    <n v="241"/>
    <x v="121"/>
  </r>
  <r>
    <s v="ORD0124"/>
    <d v="2025-01-18T00:00:00"/>
    <x v="2"/>
    <x v="6"/>
    <x v="2"/>
    <n v="10"/>
    <n v="40"/>
    <x v="122"/>
  </r>
  <r>
    <s v="ORD0125"/>
    <d v="2025-01-30T00:00:00"/>
    <x v="1"/>
    <x v="3"/>
    <x v="0"/>
    <n v="9"/>
    <n v="99"/>
    <x v="123"/>
  </r>
  <r>
    <s v="ORD0126"/>
    <d v="2025-01-05T00:00:00"/>
    <x v="3"/>
    <x v="1"/>
    <x v="1"/>
    <n v="9"/>
    <n v="307"/>
    <x v="124"/>
  </r>
  <r>
    <s v="ORD0127"/>
    <d v="2025-02-27T00:00:00"/>
    <x v="3"/>
    <x v="5"/>
    <x v="2"/>
    <n v="3"/>
    <n v="682"/>
    <x v="125"/>
  </r>
  <r>
    <s v="ORD0128"/>
    <d v="2025-01-31T00:00:00"/>
    <x v="2"/>
    <x v="5"/>
    <x v="2"/>
    <n v="3"/>
    <n v="544"/>
    <x v="126"/>
  </r>
  <r>
    <s v="ORD0129"/>
    <d v="2025-01-30T00:00:00"/>
    <x v="0"/>
    <x v="5"/>
    <x v="2"/>
    <n v="5"/>
    <n v="141"/>
    <x v="127"/>
  </r>
  <r>
    <s v="ORD0130"/>
    <d v="2025-01-30T00:00:00"/>
    <x v="1"/>
    <x v="3"/>
    <x v="0"/>
    <n v="2"/>
    <n v="724"/>
    <x v="128"/>
  </r>
  <r>
    <s v="ORD0131"/>
    <d v="2025-02-25T00:00:00"/>
    <x v="3"/>
    <x v="4"/>
    <x v="2"/>
    <n v="2"/>
    <n v="793"/>
    <x v="129"/>
  </r>
  <r>
    <s v="ORD0132"/>
    <d v="2025-01-31T00:00:00"/>
    <x v="1"/>
    <x v="6"/>
    <x v="2"/>
    <n v="2"/>
    <n v="554"/>
    <x v="130"/>
  </r>
  <r>
    <s v="ORD0133"/>
    <d v="2025-01-04T00:00:00"/>
    <x v="3"/>
    <x v="6"/>
    <x v="2"/>
    <n v="4"/>
    <n v="743"/>
    <x v="131"/>
  </r>
  <r>
    <s v="ORD0134"/>
    <d v="2025-02-15T00:00:00"/>
    <x v="1"/>
    <x v="2"/>
    <x v="2"/>
    <n v="3"/>
    <n v="193"/>
    <x v="132"/>
  </r>
  <r>
    <s v="ORD0135"/>
    <d v="2025-02-19T00:00:00"/>
    <x v="0"/>
    <x v="6"/>
    <x v="2"/>
    <n v="1"/>
    <n v="851"/>
    <x v="133"/>
  </r>
  <r>
    <s v="ORD0136"/>
    <d v="2025-02-05T00:00:00"/>
    <x v="0"/>
    <x v="2"/>
    <x v="2"/>
    <n v="5"/>
    <n v="448"/>
    <x v="134"/>
  </r>
  <r>
    <s v="ORD0137"/>
    <d v="2025-01-08T00:00:00"/>
    <x v="2"/>
    <x v="2"/>
    <x v="2"/>
    <n v="9"/>
    <n v="231"/>
    <x v="135"/>
  </r>
  <r>
    <s v="ORD0138"/>
    <d v="2025-01-04T00:00:00"/>
    <x v="2"/>
    <x v="2"/>
    <x v="2"/>
    <n v="8"/>
    <n v="191"/>
    <x v="136"/>
  </r>
  <r>
    <s v="ORD0139"/>
    <d v="2025-01-08T00:00:00"/>
    <x v="3"/>
    <x v="2"/>
    <x v="2"/>
    <n v="5"/>
    <n v="479"/>
    <x v="137"/>
  </r>
  <r>
    <s v="ORD0140"/>
    <d v="2025-02-13T00:00:00"/>
    <x v="2"/>
    <x v="0"/>
    <x v="0"/>
    <n v="9"/>
    <n v="308"/>
    <x v="103"/>
  </r>
  <r>
    <s v="ORD0141"/>
    <d v="2025-01-07T00:00:00"/>
    <x v="0"/>
    <x v="0"/>
    <x v="0"/>
    <n v="3"/>
    <n v="292"/>
    <x v="138"/>
  </r>
  <r>
    <s v="ORD0142"/>
    <d v="2025-01-03T00:00:00"/>
    <x v="1"/>
    <x v="0"/>
    <x v="0"/>
    <n v="5"/>
    <n v="493"/>
    <x v="139"/>
  </r>
  <r>
    <s v="ORD0143"/>
    <d v="2025-01-28T00:00:00"/>
    <x v="2"/>
    <x v="3"/>
    <x v="0"/>
    <n v="2"/>
    <n v="645"/>
    <x v="140"/>
  </r>
  <r>
    <s v="ORD0144"/>
    <d v="2025-02-13T00:00:00"/>
    <x v="2"/>
    <x v="4"/>
    <x v="2"/>
    <n v="7"/>
    <n v="851"/>
    <x v="141"/>
  </r>
  <r>
    <s v="ORD0145"/>
    <d v="2025-02-11T00:00:00"/>
    <x v="0"/>
    <x v="1"/>
    <x v="1"/>
    <n v="8"/>
    <n v="497"/>
    <x v="142"/>
  </r>
  <r>
    <s v="ORD0146"/>
    <d v="2025-02-12T00:00:00"/>
    <x v="0"/>
    <x v="3"/>
    <x v="0"/>
    <n v="2"/>
    <n v="722"/>
    <x v="143"/>
  </r>
  <r>
    <s v="ORD0147"/>
    <d v="2025-01-02T00:00:00"/>
    <x v="1"/>
    <x v="1"/>
    <x v="1"/>
    <n v="3"/>
    <n v="332"/>
    <x v="144"/>
  </r>
  <r>
    <s v="ORD0148"/>
    <d v="2025-02-07T00:00:00"/>
    <x v="2"/>
    <x v="2"/>
    <x v="2"/>
    <n v="5"/>
    <n v="90"/>
    <x v="145"/>
  </r>
  <r>
    <s v="ORD0149"/>
    <d v="2025-01-13T00:00:00"/>
    <x v="3"/>
    <x v="6"/>
    <x v="2"/>
    <n v="4"/>
    <n v="328"/>
    <x v="146"/>
  </r>
  <r>
    <s v="ORD0150"/>
    <d v="2025-02-25T00:00:00"/>
    <x v="3"/>
    <x v="1"/>
    <x v="1"/>
    <n v="4"/>
    <n v="865"/>
    <x v="147"/>
  </r>
  <r>
    <s v="ORD0151"/>
    <d v="2025-01-19T00:00:00"/>
    <x v="1"/>
    <x v="6"/>
    <x v="2"/>
    <n v="9"/>
    <n v="237"/>
    <x v="148"/>
  </r>
  <r>
    <s v="ORD0152"/>
    <d v="2025-02-14T00:00:00"/>
    <x v="0"/>
    <x v="0"/>
    <x v="0"/>
    <n v="6"/>
    <n v="438"/>
    <x v="149"/>
  </r>
  <r>
    <s v="ORD0153"/>
    <d v="2025-02-27T00:00:00"/>
    <x v="0"/>
    <x v="2"/>
    <x v="2"/>
    <n v="4"/>
    <n v="528"/>
    <x v="150"/>
  </r>
  <r>
    <s v="ORD0154"/>
    <d v="2025-01-27T00:00:00"/>
    <x v="3"/>
    <x v="0"/>
    <x v="0"/>
    <n v="7"/>
    <n v="719"/>
    <x v="151"/>
  </r>
  <r>
    <s v="ORD0155"/>
    <d v="2025-03-01T00:00:00"/>
    <x v="2"/>
    <x v="1"/>
    <x v="1"/>
    <n v="5"/>
    <n v="207"/>
    <x v="114"/>
  </r>
  <r>
    <s v="ORD0156"/>
    <d v="2025-01-01T00:00:00"/>
    <x v="0"/>
    <x v="1"/>
    <x v="1"/>
    <n v="7"/>
    <n v="271"/>
    <x v="152"/>
  </r>
  <r>
    <s v="ORD0157"/>
    <d v="2025-01-09T00:00:00"/>
    <x v="3"/>
    <x v="3"/>
    <x v="0"/>
    <n v="7"/>
    <n v="717"/>
    <x v="153"/>
  </r>
  <r>
    <s v="ORD0158"/>
    <d v="2025-02-27T00:00:00"/>
    <x v="3"/>
    <x v="3"/>
    <x v="0"/>
    <n v="5"/>
    <n v="145"/>
    <x v="154"/>
  </r>
  <r>
    <s v="ORD0159"/>
    <d v="2025-02-12T00:00:00"/>
    <x v="3"/>
    <x v="2"/>
    <x v="2"/>
    <n v="7"/>
    <n v="234"/>
    <x v="48"/>
  </r>
  <r>
    <s v="ORD0160"/>
    <d v="2025-02-17T00:00:00"/>
    <x v="3"/>
    <x v="5"/>
    <x v="2"/>
    <n v="6"/>
    <n v="852"/>
    <x v="155"/>
  </r>
  <r>
    <s v="ORD0161"/>
    <d v="2025-02-22T00:00:00"/>
    <x v="1"/>
    <x v="1"/>
    <x v="1"/>
    <n v="10"/>
    <n v="594"/>
    <x v="156"/>
  </r>
  <r>
    <s v="ORD0162"/>
    <d v="2025-01-08T00:00:00"/>
    <x v="1"/>
    <x v="4"/>
    <x v="2"/>
    <n v="9"/>
    <n v="264"/>
    <x v="157"/>
  </r>
  <r>
    <s v="ORD0163"/>
    <d v="2025-01-18T00:00:00"/>
    <x v="1"/>
    <x v="0"/>
    <x v="0"/>
    <n v="8"/>
    <n v="593"/>
    <x v="158"/>
  </r>
  <r>
    <s v="ORD0164"/>
    <d v="2025-01-18T00:00:00"/>
    <x v="1"/>
    <x v="4"/>
    <x v="2"/>
    <n v="8"/>
    <n v="692"/>
    <x v="159"/>
  </r>
  <r>
    <s v="ORD0165"/>
    <d v="2025-02-04T00:00:00"/>
    <x v="2"/>
    <x v="3"/>
    <x v="0"/>
    <n v="6"/>
    <n v="676"/>
    <x v="160"/>
  </r>
  <r>
    <s v="ORD0166"/>
    <d v="2025-02-06T00:00:00"/>
    <x v="1"/>
    <x v="3"/>
    <x v="0"/>
    <n v="1"/>
    <n v="681"/>
    <x v="161"/>
  </r>
  <r>
    <s v="ORD0167"/>
    <d v="2025-02-19T00:00:00"/>
    <x v="0"/>
    <x v="3"/>
    <x v="0"/>
    <n v="1"/>
    <n v="590"/>
    <x v="69"/>
  </r>
  <r>
    <s v="ORD0168"/>
    <d v="2025-02-16T00:00:00"/>
    <x v="2"/>
    <x v="5"/>
    <x v="2"/>
    <n v="9"/>
    <n v="310"/>
    <x v="162"/>
  </r>
  <r>
    <s v="ORD0169"/>
    <d v="2025-02-26T00:00:00"/>
    <x v="2"/>
    <x v="5"/>
    <x v="2"/>
    <n v="1"/>
    <n v="787"/>
    <x v="163"/>
  </r>
  <r>
    <s v="ORD0170"/>
    <d v="2025-01-17T00:00:00"/>
    <x v="3"/>
    <x v="5"/>
    <x v="2"/>
    <n v="10"/>
    <n v="123"/>
    <x v="164"/>
  </r>
  <r>
    <s v="ORD0171"/>
    <d v="2025-02-15T00:00:00"/>
    <x v="2"/>
    <x v="1"/>
    <x v="1"/>
    <n v="8"/>
    <n v="37"/>
    <x v="165"/>
  </r>
  <r>
    <s v="ORD0172"/>
    <d v="2025-02-05T00:00:00"/>
    <x v="3"/>
    <x v="6"/>
    <x v="2"/>
    <n v="1"/>
    <n v="139"/>
    <x v="166"/>
  </r>
  <r>
    <s v="ORD0173"/>
    <d v="2025-02-20T00:00:00"/>
    <x v="1"/>
    <x v="0"/>
    <x v="0"/>
    <n v="10"/>
    <n v="169"/>
    <x v="167"/>
  </r>
  <r>
    <s v="ORD0174"/>
    <d v="2025-02-27T00:00:00"/>
    <x v="2"/>
    <x v="5"/>
    <x v="2"/>
    <n v="1"/>
    <n v="117"/>
    <x v="168"/>
  </r>
  <r>
    <s v="ORD0175"/>
    <d v="2025-01-02T00:00:00"/>
    <x v="0"/>
    <x v="1"/>
    <x v="1"/>
    <n v="7"/>
    <n v="371"/>
    <x v="169"/>
  </r>
  <r>
    <s v="ORD0176"/>
    <d v="2025-01-28T00:00:00"/>
    <x v="1"/>
    <x v="1"/>
    <x v="1"/>
    <n v="5"/>
    <n v="240"/>
    <x v="170"/>
  </r>
  <r>
    <s v="ORD0177"/>
    <d v="2025-02-18T00:00:00"/>
    <x v="2"/>
    <x v="4"/>
    <x v="2"/>
    <n v="3"/>
    <n v="748"/>
    <x v="171"/>
  </r>
  <r>
    <s v="ORD0178"/>
    <d v="2025-02-01T00:00:00"/>
    <x v="3"/>
    <x v="3"/>
    <x v="0"/>
    <n v="1"/>
    <n v="798"/>
    <x v="172"/>
  </r>
  <r>
    <s v="ORD0179"/>
    <d v="2025-01-23T00:00:00"/>
    <x v="3"/>
    <x v="0"/>
    <x v="0"/>
    <n v="10"/>
    <n v="361"/>
    <x v="173"/>
  </r>
  <r>
    <s v="ORD0180"/>
    <d v="2025-01-08T00:00:00"/>
    <x v="1"/>
    <x v="2"/>
    <x v="2"/>
    <n v="6"/>
    <n v="68"/>
    <x v="174"/>
  </r>
  <r>
    <s v="ORD0181"/>
    <d v="2025-01-08T00:00:00"/>
    <x v="3"/>
    <x v="4"/>
    <x v="2"/>
    <n v="3"/>
    <n v="672"/>
    <x v="175"/>
  </r>
  <r>
    <s v="ORD0182"/>
    <d v="2025-02-23T00:00:00"/>
    <x v="2"/>
    <x v="3"/>
    <x v="0"/>
    <n v="6"/>
    <n v="309"/>
    <x v="176"/>
  </r>
  <r>
    <s v="ORD0183"/>
    <d v="2025-02-10T00:00:00"/>
    <x v="3"/>
    <x v="6"/>
    <x v="2"/>
    <n v="8"/>
    <n v="346"/>
    <x v="177"/>
  </r>
  <r>
    <s v="ORD0184"/>
    <d v="2025-01-16T00:00:00"/>
    <x v="3"/>
    <x v="6"/>
    <x v="2"/>
    <n v="2"/>
    <n v="200"/>
    <x v="122"/>
  </r>
  <r>
    <s v="ORD0185"/>
    <d v="2025-01-11T00:00:00"/>
    <x v="2"/>
    <x v="4"/>
    <x v="2"/>
    <n v="1"/>
    <n v="818"/>
    <x v="178"/>
  </r>
  <r>
    <s v="ORD0186"/>
    <d v="2025-02-08T00:00:00"/>
    <x v="2"/>
    <x v="1"/>
    <x v="1"/>
    <n v="4"/>
    <n v="81"/>
    <x v="179"/>
  </r>
  <r>
    <s v="ORD0187"/>
    <d v="2025-02-09T00:00:00"/>
    <x v="2"/>
    <x v="6"/>
    <x v="2"/>
    <n v="7"/>
    <n v="399"/>
    <x v="180"/>
  </r>
  <r>
    <s v="ORD0188"/>
    <d v="2025-02-01T00:00:00"/>
    <x v="1"/>
    <x v="1"/>
    <x v="1"/>
    <n v="10"/>
    <n v="890"/>
    <x v="181"/>
  </r>
  <r>
    <s v="ORD0189"/>
    <d v="2025-02-17T00:00:00"/>
    <x v="1"/>
    <x v="2"/>
    <x v="2"/>
    <n v="5"/>
    <n v="475"/>
    <x v="182"/>
  </r>
  <r>
    <s v="ORD0190"/>
    <d v="2025-01-20T00:00:00"/>
    <x v="3"/>
    <x v="2"/>
    <x v="2"/>
    <n v="10"/>
    <n v="564"/>
    <x v="183"/>
  </r>
  <r>
    <s v="ORD0191"/>
    <d v="2025-02-13T00:00:00"/>
    <x v="2"/>
    <x v="4"/>
    <x v="2"/>
    <n v="10"/>
    <n v="580"/>
    <x v="184"/>
  </r>
  <r>
    <s v="ORD0192"/>
    <d v="2025-02-03T00:00:00"/>
    <x v="3"/>
    <x v="6"/>
    <x v="2"/>
    <n v="4"/>
    <n v="693"/>
    <x v="103"/>
  </r>
  <r>
    <s v="ORD0193"/>
    <d v="2025-02-19T00:00:00"/>
    <x v="2"/>
    <x v="0"/>
    <x v="0"/>
    <n v="7"/>
    <n v="233"/>
    <x v="185"/>
  </r>
  <r>
    <s v="ORD0194"/>
    <d v="2025-01-12T00:00:00"/>
    <x v="0"/>
    <x v="5"/>
    <x v="2"/>
    <n v="2"/>
    <n v="655"/>
    <x v="29"/>
  </r>
  <r>
    <s v="ORD0195"/>
    <d v="2025-01-08T00:00:00"/>
    <x v="3"/>
    <x v="5"/>
    <x v="2"/>
    <n v="5"/>
    <n v="408"/>
    <x v="186"/>
  </r>
  <r>
    <s v="ORD0196"/>
    <d v="2025-01-22T00:00:00"/>
    <x v="3"/>
    <x v="6"/>
    <x v="2"/>
    <n v="10"/>
    <n v="49"/>
    <x v="187"/>
  </r>
  <r>
    <s v="ORD0197"/>
    <d v="2025-01-15T00:00:00"/>
    <x v="0"/>
    <x v="3"/>
    <x v="0"/>
    <n v="6"/>
    <n v="125"/>
    <x v="188"/>
  </r>
  <r>
    <s v="ORD0198"/>
    <d v="2025-02-11T00:00:00"/>
    <x v="0"/>
    <x v="0"/>
    <x v="0"/>
    <n v="4"/>
    <n v="363"/>
    <x v="189"/>
  </r>
  <r>
    <s v="ORD0199"/>
    <d v="2025-01-23T00:00:00"/>
    <x v="1"/>
    <x v="3"/>
    <x v="0"/>
    <n v="5"/>
    <n v="611"/>
    <x v="190"/>
  </r>
  <r>
    <s v="ORD0200"/>
    <d v="2025-01-01T00:00:00"/>
    <x v="2"/>
    <x v="5"/>
    <x v="2"/>
    <n v="2"/>
    <n v="636"/>
    <x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DDA33-3814-4551-BB26-C1EB5FB5862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">
  <location ref="E3:F8" firstHeaderRow="1" firstDataRow="1" firstDataCol="1"/>
  <pivotFields count="8">
    <pivotField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3DF34-73D3-4665-8040-2D7BE959C27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9:B15" firstHeaderRow="1" firstDataRow="1" firstDataCol="1"/>
  <pivotFields count="8">
    <pivotField showAll="0"/>
    <pivotField numFmtId="164" showAll="0"/>
    <pivotField showAll="0"/>
    <pivotField axis="axisRow" showAll="0" measureFilter="1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 Revenue" fld="7" baseField="0" baseItem="0"/>
  </dataFields>
  <conditionalFormats count="5">
    <conditionalFormat type="all"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4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5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B1F35-6CE5-4D87-964C-4D58E4B028E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7" firstHeaderRow="1" firstDataRow="1" firstDataCol="1"/>
  <pivotFields count="8">
    <pivotField showAll="0"/>
    <pivotField numFmtId="16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7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31C61-9D2B-4519-BE73-B78A62CF37E0}" name="Table1" displayName="Table1" ref="A1:H201" totalsRowShown="0" headerRowDxfId="21" headerRowBorderDxfId="30" tableBorderDxfId="31" totalsRowBorderDxfId="29">
  <autoFilter ref="A1:H201" xr:uid="{87331C61-9D2B-4519-BE73-B78A62CF37E0}"/>
  <tableColumns count="8">
    <tableColumn id="1" xr3:uid="{C3833A99-85BF-46F1-ABB3-898662BF8C7A}" name="Order_ID" dataDxfId="28"/>
    <tableColumn id="2" xr3:uid="{78D11B52-727A-4AF3-93F5-C1AEDBDFE185}" name="Order_Date" dataDxfId="27"/>
    <tableColumn id="3" xr3:uid="{C5018F2C-2F73-4143-B894-2DAB4E2834E5}" name="Region" dataDxfId="26"/>
    <tableColumn id="4" xr3:uid="{F898CD68-F28B-4144-816B-4154623F354C}" name="Product" dataDxfId="25"/>
    <tableColumn id="5" xr3:uid="{9FC4B481-08AC-401A-A8AD-E86BC41BFE76}" name="Category" dataDxfId="24"/>
    <tableColumn id="6" xr3:uid="{1683AC8C-2BEB-4A67-BA9F-36CD576ECCC3}" name="Quantity" dataDxfId="23"/>
    <tableColumn id="7" xr3:uid="{9A1579D4-7AA5-4BD1-88DD-91B3CF375DA4}" name="Unit_Price" dataDxfId="22"/>
    <tableColumn id="8" xr3:uid="{905FC12F-1004-4F59-8806-40316FEAF9C4}" name="Total Revenue" dataDxfId="20">
      <calculatedColumnFormula>Table1[[#This Row],[Quantity]]*Table1[[#This Row],[Unit_Price]]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7" workbookViewId="0">
      <selection activeCell="A26" sqref="A26"/>
    </sheetView>
  </sheetViews>
  <sheetFormatPr defaultRowHeight="14.4" x14ac:dyDescent="0.3"/>
  <cols>
    <col min="1" max="1" width="92.5546875" bestFit="1" customWidth="1"/>
  </cols>
  <sheetData>
    <row r="1" spans="1:1" x14ac:dyDescent="0.3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s="2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s="2" t="s">
        <v>20</v>
      </c>
    </row>
    <row r="27" spans="1:1" x14ac:dyDescent="0.3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abSelected="1" workbookViewId="0">
      <selection activeCell="K7" sqref="K7"/>
    </sheetView>
  </sheetViews>
  <sheetFormatPr defaultRowHeight="14.4" x14ac:dyDescent="0.3"/>
  <cols>
    <col min="1" max="1" width="13.33203125" style="3" customWidth="1"/>
    <col min="2" max="2" width="23.21875" style="3" customWidth="1"/>
    <col min="3" max="3" width="10.77734375" style="3" customWidth="1"/>
    <col min="4" max="4" width="12.88671875" style="3" customWidth="1"/>
    <col min="5" max="5" width="14.109375" style="3" customWidth="1"/>
    <col min="6" max="6" width="12.5546875" style="3" customWidth="1"/>
    <col min="7" max="7" width="15" style="3" customWidth="1"/>
    <col min="8" max="8" width="14.88671875" customWidth="1"/>
  </cols>
  <sheetData>
    <row r="1" spans="1:8" x14ac:dyDescent="0.3">
      <c r="A1" s="11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3" t="s">
        <v>28</v>
      </c>
      <c r="H1" s="12" t="s">
        <v>243</v>
      </c>
    </row>
    <row r="2" spans="1:8" x14ac:dyDescent="0.3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  <c r="H2" s="14">
        <f>Table1[[#This Row],[Quantity]]*Table1[[#This Row],[Unit_Price]]</f>
        <v>852</v>
      </c>
    </row>
    <row r="3" spans="1:8" x14ac:dyDescent="0.3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  <c r="H3" s="3">
        <f>Table1[[#This Row],[Quantity]]*Table1[[#This Row],[Unit_Price]]</f>
        <v>3560</v>
      </c>
    </row>
    <row r="4" spans="1:8" x14ac:dyDescent="0.3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  <c r="H4" s="3">
        <f>Table1[[#This Row],[Quantity]]*Table1[[#This Row],[Unit_Price]]</f>
        <v>7860</v>
      </c>
    </row>
    <row r="5" spans="1:8" x14ac:dyDescent="0.3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  <c r="H5" s="3">
        <f>Table1[[#This Row],[Quantity]]*Table1[[#This Row],[Unit_Price]]</f>
        <v>40</v>
      </c>
    </row>
    <row r="6" spans="1:8" x14ac:dyDescent="0.3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  <c r="H6" s="3">
        <f>Table1[[#This Row],[Quantity]]*Table1[[#This Row],[Unit_Price]]</f>
        <v>74</v>
      </c>
    </row>
    <row r="7" spans="1:8" x14ac:dyDescent="0.3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  <c r="H7" s="3">
        <f>Table1[[#This Row],[Quantity]]*Table1[[#This Row],[Unit_Price]]</f>
        <v>1944</v>
      </c>
    </row>
    <row r="8" spans="1:8" x14ac:dyDescent="0.3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  <c r="H8" s="3">
        <f>Table1[[#This Row],[Quantity]]*Table1[[#This Row],[Unit_Price]]</f>
        <v>560</v>
      </c>
    </row>
    <row r="9" spans="1:8" x14ac:dyDescent="0.3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  <c r="H9" s="3">
        <f>Table1[[#This Row],[Quantity]]*Table1[[#This Row],[Unit_Price]]</f>
        <v>1474</v>
      </c>
    </row>
    <row r="10" spans="1:8" x14ac:dyDescent="0.3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  <c r="H10" s="3">
        <f>Table1[[#This Row],[Quantity]]*Table1[[#This Row],[Unit_Price]]</f>
        <v>647</v>
      </c>
    </row>
    <row r="11" spans="1:8" x14ac:dyDescent="0.3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  <c r="H11" s="3">
        <f>Table1[[#This Row],[Quantity]]*Table1[[#This Row],[Unit_Price]]</f>
        <v>4086</v>
      </c>
    </row>
    <row r="12" spans="1:8" x14ac:dyDescent="0.3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  <c r="H12" s="3">
        <f>Table1[[#This Row],[Quantity]]*Table1[[#This Row],[Unit_Price]]</f>
        <v>3003</v>
      </c>
    </row>
    <row r="13" spans="1:8" x14ac:dyDescent="0.3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  <c r="H13" s="3">
        <f>Table1[[#This Row],[Quantity]]*Table1[[#This Row],[Unit_Price]]</f>
        <v>1358</v>
      </c>
    </row>
    <row r="14" spans="1:8" x14ac:dyDescent="0.3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  <c r="H14" s="3">
        <f>Table1[[#This Row],[Quantity]]*Table1[[#This Row],[Unit_Price]]</f>
        <v>2012</v>
      </c>
    </row>
    <row r="15" spans="1:8" x14ac:dyDescent="0.3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  <c r="H15" s="3">
        <f>Table1[[#This Row],[Quantity]]*Table1[[#This Row],[Unit_Price]]</f>
        <v>42</v>
      </c>
    </row>
    <row r="16" spans="1:8" x14ac:dyDescent="0.3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  <c r="H16" s="3">
        <f>Table1[[#This Row],[Quantity]]*Table1[[#This Row],[Unit_Price]]</f>
        <v>3066</v>
      </c>
    </row>
    <row r="17" spans="1:8" x14ac:dyDescent="0.3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  <c r="H17" s="3">
        <f>Table1[[#This Row],[Quantity]]*Table1[[#This Row],[Unit_Price]]</f>
        <v>1410</v>
      </c>
    </row>
    <row r="18" spans="1:8" x14ac:dyDescent="0.3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  <c r="H18" s="3">
        <f>Table1[[#This Row],[Quantity]]*Table1[[#This Row],[Unit_Price]]</f>
        <v>3876</v>
      </c>
    </row>
    <row r="19" spans="1:8" x14ac:dyDescent="0.3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  <c r="H19" s="3">
        <f>Table1[[#This Row],[Quantity]]*Table1[[#This Row],[Unit_Price]]</f>
        <v>375</v>
      </c>
    </row>
    <row r="20" spans="1:8" x14ac:dyDescent="0.3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  <c r="H20" s="3">
        <f>Table1[[#This Row],[Quantity]]*Table1[[#This Row],[Unit_Price]]</f>
        <v>1896</v>
      </c>
    </row>
    <row r="21" spans="1:8" x14ac:dyDescent="0.3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  <c r="H21" s="3">
        <f>Table1[[#This Row],[Quantity]]*Table1[[#This Row],[Unit_Price]]</f>
        <v>3245</v>
      </c>
    </row>
    <row r="22" spans="1:8" x14ac:dyDescent="0.3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  <c r="H22" s="3">
        <f>Table1[[#This Row],[Quantity]]*Table1[[#This Row],[Unit_Price]]</f>
        <v>7100</v>
      </c>
    </row>
    <row r="23" spans="1:8" x14ac:dyDescent="0.3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  <c r="H23" s="3">
        <f>Table1[[#This Row],[Quantity]]*Table1[[#This Row],[Unit_Price]]</f>
        <v>6272</v>
      </c>
    </row>
    <row r="24" spans="1:8" x14ac:dyDescent="0.3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  <c r="H24" s="3">
        <f>Table1[[#This Row],[Quantity]]*Table1[[#This Row],[Unit_Price]]</f>
        <v>899</v>
      </c>
    </row>
    <row r="25" spans="1:8" x14ac:dyDescent="0.3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  <c r="H25" s="3">
        <f>Table1[[#This Row],[Quantity]]*Table1[[#This Row],[Unit_Price]]</f>
        <v>3656</v>
      </c>
    </row>
    <row r="26" spans="1:8" x14ac:dyDescent="0.3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  <c r="H26" s="3">
        <f>Table1[[#This Row],[Quantity]]*Table1[[#This Row],[Unit_Price]]</f>
        <v>5283</v>
      </c>
    </row>
    <row r="27" spans="1:8" x14ac:dyDescent="0.3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  <c r="H27" s="3">
        <f>Table1[[#This Row],[Quantity]]*Table1[[#This Row],[Unit_Price]]</f>
        <v>1680</v>
      </c>
    </row>
    <row r="28" spans="1:8" x14ac:dyDescent="0.3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  <c r="H28" s="3">
        <f>Table1[[#This Row],[Quantity]]*Table1[[#This Row],[Unit_Price]]</f>
        <v>3044</v>
      </c>
    </row>
    <row r="29" spans="1:8" x14ac:dyDescent="0.3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  <c r="H29" s="3">
        <f>Table1[[#This Row],[Quantity]]*Table1[[#This Row],[Unit_Price]]</f>
        <v>54</v>
      </c>
    </row>
    <row r="30" spans="1:8" x14ac:dyDescent="0.3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  <c r="H30" s="3">
        <f>Table1[[#This Row],[Quantity]]*Table1[[#This Row],[Unit_Price]]</f>
        <v>1053</v>
      </c>
    </row>
    <row r="31" spans="1:8" x14ac:dyDescent="0.3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  <c r="H31" s="3">
        <f>Table1[[#This Row],[Quantity]]*Table1[[#This Row],[Unit_Price]]</f>
        <v>1310</v>
      </c>
    </row>
    <row r="32" spans="1:8" x14ac:dyDescent="0.3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  <c r="H32" s="3">
        <f>Table1[[#This Row],[Quantity]]*Table1[[#This Row],[Unit_Price]]</f>
        <v>960</v>
      </c>
    </row>
    <row r="33" spans="1:8" x14ac:dyDescent="0.3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  <c r="H33" s="3">
        <f>Table1[[#This Row],[Quantity]]*Table1[[#This Row],[Unit_Price]]</f>
        <v>1490</v>
      </c>
    </row>
    <row r="34" spans="1:8" x14ac:dyDescent="0.3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  <c r="H34" s="3">
        <f>Table1[[#This Row],[Quantity]]*Table1[[#This Row],[Unit_Price]]</f>
        <v>2875</v>
      </c>
    </row>
    <row r="35" spans="1:8" x14ac:dyDescent="0.3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  <c r="H35" s="3">
        <f>Table1[[#This Row],[Quantity]]*Table1[[#This Row],[Unit_Price]]</f>
        <v>2530</v>
      </c>
    </row>
    <row r="36" spans="1:8" x14ac:dyDescent="0.3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  <c r="H36" s="3">
        <f>Table1[[#This Row],[Quantity]]*Table1[[#This Row],[Unit_Price]]</f>
        <v>4452</v>
      </c>
    </row>
    <row r="37" spans="1:8" x14ac:dyDescent="0.3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  <c r="H37" s="3">
        <f>Table1[[#This Row],[Quantity]]*Table1[[#This Row],[Unit_Price]]</f>
        <v>1143</v>
      </c>
    </row>
    <row r="38" spans="1:8" x14ac:dyDescent="0.3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  <c r="H38" s="3">
        <f>Table1[[#This Row],[Quantity]]*Table1[[#This Row],[Unit_Price]]</f>
        <v>120</v>
      </c>
    </row>
    <row r="39" spans="1:8" x14ac:dyDescent="0.3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  <c r="H39" s="3">
        <f>Table1[[#This Row],[Quantity]]*Table1[[#This Row],[Unit_Price]]</f>
        <v>2169</v>
      </c>
    </row>
    <row r="40" spans="1:8" x14ac:dyDescent="0.3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  <c r="H40" s="3">
        <f>Table1[[#This Row],[Quantity]]*Table1[[#This Row],[Unit_Price]]</f>
        <v>284</v>
      </c>
    </row>
    <row r="41" spans="1:8" x14ac:dyDescent="0.3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  <c r="H41" s="3">
        <f>Table1[[#This Row],[Quantity]]*Table1[[#This Row],[Unit_Price]]</f>
        <v>3470</v>
      </c>
    </row>
    <row r="42" spans="1:8" x14ac:dyDescent="0.3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  <c r="H42" s="3">
        <f>Table1[[#This Row],[Quantity]]*Table1[[#This Row],[Unit_Price]]</f>
        <v>2160</v>
      </c>
    </row>
    <row r="43" spans="1:8" x14ac:dyDescent="0.3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  <c r="H43" s="3">
        <f>Table1[[#This Row],[Quantity]]*Table1[[#This Row],[Unit_Price]]</f>
        <v>8060</v>
      </c>
    </row>
    <row r="44" spans="1:8" x14ac:dyDescent="0.3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  <c r="H44" s="3">
        <f>Table1[[#This Row],[Quantity]]*Table1[[#This Row],[Unit_Price]]</f>
        <v>1008</v>
      </c>
    </row>
    <row r="45" spans="1:8" x14ac:dyDescent="0.3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  <c r="H45" s="3">
        <f>Table1[[#This Row],[Quantity]]*Table1[[#This Row],[Unit_Price]]</f>
        <v>1883</v>
      </c>
    </row>
    <row r="46" spans="1:8" x14ac:dyDescent="0.3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  <c r="H46" s="3">
        <f>Table1[[#This Row],[Quantity]]*Table1[[#This Row],[Unit_Price]]</f>
        <v>1568</v>
      </c>
    </row>
    <row r="47" spans="1:8" x14ac:dyDescent="0.3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  <c r="H47" s="3">
        <f>Table1[[#This Row],[Quantity]]*Table1[[#This Row],[Unit_Price]]</f>
        <v>1410</v>
      </c>
    </row>
    <row r="48" spans="1:8" x14ac:dyDescent="0.3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  <c r="H48" s="3">
        <f>Table1[[#This Row],[Quantity]]*Table1[[#This Row],[Unit_Price]]</f>
        <v>1000</v>
      </c>
    </row>
    <row r="49" spans="1:8" x14ac:dyDescent="0.3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  <c r="H49" s="3">
        <f>Table1[[#This Row],[Quantity]]*Table1[[#This Row],[Unit_Price]]</f>
        <v>1500</v>
      </c>
    </row>
    <row r="50" spans="1:8" x14ac:dyDescent="0.3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  <c r="H50" s="3">
        <f>Table1[[#This Row],[Quantity]]*Table1[[#This Row],[Unit_Price]]</f>
        <v>428</v>
      </c>
    </row>
    <row r="51" spans="1:8" x14ac:dyDescent="0.3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  <c r="H51" s="3">
        <f>Table1[[#This Row],[Quantity]]*Table1[[#This Row],[Unit_Price]]</f>
        <v>1638</v>
      </c>
    </row>
    <row r="52" spans="1:8" x14ac:dyDescent="0.3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  <c r="H52" s="3">
        <f>Table1[[#This Row],[Quantity]]*Table1[[#This Row],[Unit_Price]]</f>
        <v>7024</v>
      </c>
    </row>
    <row r="53" spans="1:8" x14ac:dyDescent="0.3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  <c r="H53" s="3">
        <f>Table1[[#This Row],[Quantity]]*Table1[[#This Row],[Unit_Price]]</f>
        <v>124</v>
      </c>
    </row>
    <row r="54" spans="1:8" x14ac:dyDescent="0.3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  <c r="H54" s="3">
        <f>Table1[[#This Row],[Quantity]]*Table1[[#This Row],[Unit_Price]]</f>
        <v>1431</v>
      </c>
    </row>
    <row r="55" spans="1:8" x14ac:dyDescent="0.3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  <c r="H55" s="3">
        <f>Table1[[#This Row],[Quantity]]*Table1[[#This Row],[Unit_Price]]</f>
        <v>2590</v>
      </c>
    </row>
    <row r="56" spans="1:8" x14ac:dyDescent="0.3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  <c r="H56" s="3">
        <f>Table1[[#This Row],[Quantity]]*Table1[[#This Row],[Unit_Price]]</f>
        <v>1281</v>
      </c>
    </row>
    <row r="57" spans="1:8" x14ac:dyDescent="0.3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  <c r="H57" s="3">
        <f>Table1[[#This Row],[Quantity]]*Table1[[#This Row],[Unit_Price]]</f>
        <v>840</v>
      </c>
    </row>
    <row r="58" spans="1:8" x14ac:dyDescent="0.3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  <c r="H58" s="3">
        <f>Table1[[#This Row],[Quantity]]*Table1[[#This Row],[Unit_Price]]</f>
        <v>2208</v>
      </c>
    </row>
    <row r="59" spans="1:8" x14ac:dyDescent="0.3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  <c r="H59" s="3">
        <f>Table1[[#This Row],[Quantity]]*Table1[[#This Row],[Unit_Price]]</f>
        <v>76</v>
      </c>
    </row>
    <row r="60" spans="1:8" x14ac:dyDescent="0.3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  <c r="H60" s="3">
        <f>Table1[[#This Row],[Quantity]]*Table1[[#This Row],[Unit_Price]]</f>
        <v>441</v>
      </c>
    </row>
    <row r="61" spans="1:8" x14ac:dyDescent="0.3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  <c r="H61" s="3">
        <f>Table1[[#This Row],[Quantity]]*Table1[[#This Row],[Unit_Price]]</f>
        <v>1646</v>
      </c>
    </row>
    <row r="62" spans="1:8" x14ac:dyDescent="0.3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  <c r="H62" s="3">
        <f>Table1[[#This Row],[Quantity]]*Table1[[#This Row],[Unit_Price]]</f>
        <v>745</v>
      </c>
    </row>
    <row r="63" spans="1:8" x14ac:dyDescent="0.3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  <c r="H63" s="3">
        <f>Table1[[#This Row],[Quantity]]*Table1[[#This Row],[Unit_Price]]</f>
        <v>5530</v>
      </c>
    </row>
    <row r="64" spans="1:8" x14ac:dyDescent="0.3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  <c r="H64" s="3">
        <f>Table1[[#This Row],[Quantity]]*Table1[[#This Row],[Unit_Price]]</f>
        <v>6720</v>
      </c>
    </row>
    <row r="65" spans="1:8" x14ac:dyDescent="0.3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  <c r="H65" s="3">
        <f>Table1[[#This Row],[Quantity]]*Table1[[#This Row],[Unit_Price]]</f>
        <v>382</v>
      </c>
    </row>
    <row r="66" spans="1:8" x14ac:dyDescent="0.3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  <c r="H66" s="3">
        <f>Table1[[#This Row],[Quantity]]*Table1[[#This Row],[Unit_Price]]</f>
        <v>920</v>
      </c>
    </row>
    <row r="67" spans="1:8" x14ac:dyDescent="0.3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  <c r="H67" s="3">
        <f>Table1[[#This Row],[Quantity]]*Table1[[#This Row],[Unit_Price]]</f>
        <v>228</v>
      </c>
    </row>
    <row r="68" spans="1:8" x14ac:dyDescent="0.3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  <c r="H68" s="3">
        <f>Table1[[#This Row],[Quantity]]*Table1[[#This Row],[Unit_Price]]</f>
        <v>2286</v>
      </c>
    </row>
    <row r="69" spans="1:8" x14ac:dyDescent="0.3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  <c r="H69" s="3">
        <f>Table1[[#This Row],[Quantity]]*Table1[[#This Row],[Unit_Price]]</f>
        <v>192</v>
      </c>
    </row>
    <row r="70" spans="1:8" x14ac:dyDescent="0.3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  <c r="H70" s="3">
        <f>Table1[[#This Row],[Quantity]]*Table1[[#This Row],[Unit_Price]]</f>
        <v>685</v>
      </c>
    </row>
    <row r="71" spans="1:8" x14ac:dyDescent="0.3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  <c r="H71" s="3">
        <f>Table1[[#This Row],[Quantity]]*Table1[[#This Row],[Unit_Price]]</f>
        <v>44</v>
      </c>
    </row>
    <row r="72" spans="1:8" x14ac:dyDescent="0.3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  <c r="H72" s="3">
        <f>Table1[[#This Row],[Quantity]]*Table1[[#This Row],[Unit_Price]]</f>
        <v>590</v>
      </c>
    </row>
    <row r="73" spans="1:8" x14ac:dyDescent="0.3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  <c r="H73" s="3">
        <f>Table1[[#This Row],[Quantity]]*Table1[[#This Row],[Unit_Price]]</f>
        <v>2336</v>
      </c>
    </row>
    <row r="74" spans="1:8" x14ac:dyDescent="0.3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  <c r="H74" s="3">
        <f>Table1[[#This Row],[Quantity]]*Table1[[#This Row],[Unit_Price]]</f>
        <v>210</v>
      </c>
    </row>
    <row r="75" spans="1:8" x14ac:dyDescent="0.3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  <c r="H75" s="3">
        <f>Table1[[#This Row],[Quantity]]*Table1[[#This Row],[Unit_Price]]</f>
        <v>3280</v>
      </c>
    </row>
    <row r="76" spans="1:8" x14ac:dyDescent="0.3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  <c r="H76" s="3">
        <f>Table1[[#This Row],[Quantity]]*Table1[[#This Row],[Unit_Price]]</f>
        <v>1356</v>
      </c>
    </row>
    <row r="77" spans="1:8" x14ac:dyDescent="0.3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  <c r="H77" s="3">
        <f>Table1[[#This Row],[Quantity]]*Table1[[#This Row],[Unit_Price]]</f>
        <v>1955</v>
      </c>
    </row>
    <row r="78" spans="1:8" x14ac:dyDescent="0.3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  <c r="H78" s="3">
        <f>Table1[[#This Row],[Quantity]]*Table1[[#This Row],[Unit_Price]]</f>
        <v>580</v>
      </c>
    </row>
    <row r="79" spans="1:8" x14ac:dyDescent="0.3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  <c r="H79" s="3">
        <f>Table1[[#This Row],[Quantity]]*Table1[[#This Row],[Unit_Price]]</f>
        <v>5130</v>
      </c>
    </row>
    <row r="80" spans="1:8" x14ac:dyDescent="0.3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  <c r="H80" s="3">
        <f>Table1[[#This Row],[Quantity]]*Table1[[#This Row],[Unit_Price]]</f>
        <v>1180</v>
      </c>
    </row>
    <row r="81" spans="1:8" x14ac:dyDescent="0.3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  <c r="H81" s="3">
        <f>Table1[[#This Row],[Quantity]]*Table1[[#This Row],[Unit_Price]]</f>
        <v>3296</v>
      </c>
    </row>
    <row r="82" spans="1:8" x14ac:dyDescent="0.3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  <c r="H82" s="3">
        <f>Table1[[#This Row],[Quantity]]*Table1[[#This Row],[Unit_Price]]</f>
        <v>715</v>
      </c>
    </row>
    <row r="83" spans="1:8" x14ac:dyDescent="0.3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  <c r="H83" s="3">
        <f>Table1[[#This Row],[Quantity]]*Table1[[#This Row],[Unit_Price]]</f>
        <v>1900</v>
      </c>
    </row>
    <row r="84" spans="1:8" x14ac:dyDescent="0.3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  <c r="H84" s="3">
        <f>Table1[[#This Row],[Quantity]]*Table1[[#This Row],[Unit_Price]]</f>
        <v>1881</v>
      </c>
    </row>
    <row r="85" spans="1:8" x14ac:dyDescent="0.3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  <c r="H85" s="3">
        <f>Table1[[#This Row],[Quantity]]*Table1[[#This Row],[Unit_Price]]</f>
        <v>7240</v>
      </c>
    </row>
    <row r="86" spans="1:8" x14ac:dyDescent="0.3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  <c r="H86" s="3">
        <f>Table1[[#This Row],[Quantity]]*Table1[[#This Row],[Unit_Price]]</f>
        <v>4680</v>
      </c>
    </row>
    <row r="87" spans="1:8" x14ac:dyDescent="0.3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  <c r="H87" s="3">
        <f>Table1[[#This Row],[Quantity]]*Table1[[#This Row],[Unit_Price]]</f>
        <v>1434</v>
      </c>
    </row>
    <row r="88" spans="1:8" x14ac:dyDescent="0.3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  <c r="H88" s="3">
        <f>Table1[[#This Row],[Quantity]]*Table1[[#This Row],[Unit_Price]]</f>
        <v>2673</v>
      </c>
    </row>
    <row r="89" spans="1:8" x14ac:dyDescent="0.3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  <c r="H89" s="3">
        <f>Table1[[#This Row],[Quantity]]*Table1[[#This Row],[Unit_Price]]</f>
        <v>3311</v>
      </c>
    </row>
    <row r="90" spans="1:8" x14ac:dyDescent="0.3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  <c r="H90" s="3">
        <f>Table1[[#This Row],[Quantity]]*Table1[[#This Row],[Unit_Price]]</f>
        <v>7192</v>
      </c>
    </row>
    <row r="91" spans="1:8" x14ac:dyDescent="0.3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  <c r="H91" s="3">
        <f>Table1[[#This Row],[Quantity]]*Table1[[#This Row],[Unit_Price]]</f>
        <v>497</v>
      </c>
    </row>
    <row r="92" spans="1:8" x14ac:dyDescent="0.3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  <c r="H92" s="3">
        <f>Table1[[#This Row],[Quantity]]*Table1[[#This Row],[Unit_Price]]</f>
        <v>684</v>
      </c>
    </row>
    <row r="93" spans="1:8" x14ac:dyDescent="0.3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  <c r="H93" s="3">
        <f>Table1[[#This Row],[Quantity]]*Table1[[#This Row],[Unit_Price]]</f>
        <v>1704</v>
      </c>
    </row>
    <row r="94" spans="1:8" x14ac:dyDescent="0.3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  <c r="H94" s="3">
        <f>Table1[[#This Row],[Quantity]]*Table1[[#This Row],[Unit_Price]]</f>
        <v>1628</v>
      </c>
    </row>
    <row r="95" spans="1:8" x14ac:dyDescent="0.3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  <c r="H95" s="3">
        <f>Table1[[#This Row],[Quantity]]*Table1[[#This Row],[Unit_Price]]</f>
        <v>2250</v>
      </c>
    </row>
    <row r="96" spans="1:8" x14ac:dyDescent="0.3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  <c r="H96" s="3">
        <f>Table1[[#This Row],[Quantity]]*Table1[[#This Row],[Unit_Price]]</f>
        <v>4860</v>
      </c>
    </row>
    <row r="97" spans="1:8" x14ac:dyDescent="0.3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  <c r="H97" s="3">
        <f>Table1[[#This Row],[Quantity]]*Table1[[#This Row],[Unit_Price]]</f>
        <v>505</v>
      </c>
    </row>
    <row r="98" spans="1:8" x14ac:dyDescent="0.3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  <c r="H98" s="3">
        <f>Table1[[#This Row],[Quantity]]*Table1[[#This Row],[Unit_Price]]</f>
        <v>1028</v>
      </c>
    </row>
    <row r="99" spans="1:8" x14ac:dyDescent="0.3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  <c r="H99" s="3">
        <f>Table1[[#This Row],[Quantity]]*Table1[[#This Row],[Unit_Price]]</f>
        <v>1800</v>
      </c>
    </row>
    <row r="100" spans="1:8" x14ac:dyDescent="0.3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  <c r="H100" s="3">
        <f>Table1[[#This Row],[Quantity]]*Table1[[#This Row],[Unit_Price]]</f>
        <v>390</v>
      </c>
    </row>
    <row r="101" spans="1:8" x14ac:dyDescent="0.3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  <c r="H101" s="3">
        <f>Table1[[#This Row],[Quantity]]*Table1[[#This Row],[Unit_Price]]</f>
        <v>1700</v>
      </c>
    </row>
    <row r="102" spans="1:8" x14ac:dyDescent="0.3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  <c r="H102" s="3">
        <f>Table1[[#This Row],[Quantity]]*Table1[[#This Row],[Unit_Price]]</f>
        <v>1956</v>
      </c>
    </row>
    <row r="103" spans="1:8" x14ac:dyDescent="0.3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  <c r="H103" s="3">
        <f>Table1[[#This Row],[Quantity]]*Table1[[#This Row],[Unit_Price]]</f>
        <v>1022</v>
      </c>
    </row>
    <row r="104" spans="1:8" x14ac:dyDescent="0.3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  <c r="H104" s="3">
        <f>Table1[[#This Row],[Quantity]]*Table1[[#This Row],[Unit_Price]]</f>
        <v>1757</v>
      </c>
    </row>
    <row r="105" spans="1:8" x14ac:dyDescent="0.3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  <c r="H105" s="3">
        <f>Table1[[#This Row],[Quantity]]*Table1[[#This Row],[Unit_Price]]</f>
        <v>1515</v>
      </c>
    </row>
    <row r="106" spans="1:8" x14ac:dyDescent="0.3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  <c r="H106" s="3">
        <f>Table1[[#This Row],[Quantity]]*Table1[[#This Row],[Unit_Price]]</f>
        <v>2772</v>
      </c>
    </row>
    <row r="107" spans="1:8" x14ac:dyDescent="0.3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  <c r="H107" s="3">
        <f>Table1[[#This Row],[Quantity]]*Table1[[#This Row],[Unit_Price]]</f>
        <v>460</v>
      </c>
    </row>
    <row r="108" spans="1:8" x14ac:dyDescent="0.3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  <c r="H108" s="3">
        <f>Table1[[#This Row],[Quantity]]*Table1[[#This Row],[Unit_Price]]</f>
        <v>6984</v>
      </c>
    </row>
    <row r="109" spans="1:8" x14ac:dyDescent="0.3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  <c r="H109" s="3">
        <f>Table1[[#This Row],[Quantity]]*Table1[[#This Row],[Unit_Price]]</f>
        <v>4952</v>
      </c>
    </row>
    <row r="110" spans="1:8" x14ac:dyDescent="0.3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  <c r="H110" s="3">
        <f>Table1[[#This Row],[Quantity]]*Table1[[#This Row],[Unit_Price]]</f>
        <v>2622</v>
      </c>
    </row>
    <row r="111" spans="1:8" x14ac:dyDescent="0.3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  <c r="H111" s="3">
        <f>Table1[[#This Row],[Quantity]]*Table1[[#This Row],[Unit_Price]]</f>
        <v>7281</v>
      </c>
    </row>
    <row r="112" spans="1:8" x14ac:dyDescent="0.3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  <c r="H112" s="3">
        <f>Table1[[#This Row],[Quantity]]*Table1[[#This Row],[Unit_Price]]</f>
        <v>1102</v>
      </c>
    </row>
    <row r="113" spans="1:8" x14ac:dyDescent="0.3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  <c r="H113" s="3">
        <f>Table1[[#This Row],[Quantity]]*Table1[[#This Row],[Unit_Price]]</f>
        <v>2172</v>
      </c>
    </row>
    <row r="114" spans="1:8" x14ac:dyDescent="0.3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  <c r="H114" s="3">
        <f>Table1[[#This Row],[Quantity]]*Table1[[#This Row],[Unit_Price]]</f>
        <v>1640</v>
      </c>
    </row>
    <row r="115" spans="1:8" x14ac:dyDescent="0.3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  <c r="H115" s="3">
        <f>Table1[[#This Row],[Quantity]]*Table1[[#This Row],[Unit_Price]]</f>
        <v>2334</v>
      </c>
    </row>
    <row r="116" spans="1:8" x14ac:dyDescent="0.3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  <c r="H116" s="3">
        <f>Table1[[#This Row],[Quantity]]*Table1[[#This Row],[Unit_Price]]</f>
        <v>378</v>
      </c>
    </row>
    <row r="117" spans="1:8" x14ac:dyDescent="0.3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  <c r="H117" s="3">
        <f>Table1[[#This Row],[Quantity]]*Table1[[#This Row],[Unit_Price]]</f>
        <v>1035</v>
      </c>
    </row>
    <row r="118" spans="1:8" x14ac:dyDescent="0.3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  <c r="H118" s="3">
        <f>Table1[[#This Row],[Quantity]]*Table1[[#This Row],[Unit_Price]]</f>
        <v>7767</v>
      </c>
    </row>
    <row r="119" spans="1:8" x14ac:dyDescent="0.3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  <c r="H119" s="3">
        <f>Table1[[#This Row],[Quantity]]*Table1[[#This Row],[Unit_Price]]</f>
        <v>1866</v>
      </c>
    </row>
    <row r="120" spans="1:8" x14ac:dyDescent="0.3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  <c r="H120" s="3">
        <f>Table1[[#This Row],[Quantity]]*Table1[[#This Row],[Unit_Price]]</f>
        <v>3753</v>
      </c>
    </row>
    <row r="121" spans="1:8" x14ac:dyDescent="0.3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  <c r="H121" s="3">
        <f>Table1[[#This Row],[Quantity]]*Table1[[#This Row],[Unit_Price]]</f>
        <v>747</v>
      </c>
    </row>
    <row r="122" spans="1:8" x14ac:dyDescent="0.3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  <c r="H122" s="3">
        <f>Table1[[#This Row],[Quantity]]*Table1[[#This Row],[Unit_Price]]</f>
        <v>7130</v>
      </c>
    </row>
    <row r="123" spans="1:8" x14ac:dyDescent="0.3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  <c r="H123" s="3">
        <f>Table1[[#This Row],[Quantity]]*Table1[[#This Row],[Unit_Price]]</f>
        <v>1960</v>
      </c>
    </row>
    <row r="124" spans="1:8" x14ac:dyDescent="0.3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  <c r="H124" s="3">
        <f>Table1[[#This Row],[Quantity]]*Table1[[#This Row],[Unit_Price]]</f>
        <v>482</v>
      </c>
    </row>
    <row r="125" spans="1:8" x14ac:dyDescent="0.3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  <c r="H125" s="3">
        <f>Table1[[#This Row],[Quantity]]*Table1[[#This Row],[Unit_Price]]</f>
        <v>400</v>
      </c>
    </row>
    <row r="126" spans="1:8" x14ac:dyDescent="0.3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  <c r="H126" s="3">
        <f>Table1[[#This Row],[Quantity]]*Table1[[#This Row],[Unit_Price]]</f>
        <v>891</v>
      </c>
    </row>
    <row r="127" spans="1:8" x14ac:dyDescent="0.3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  <c r="H127" s="3">
        <f>Table1[[#This Row],[Quantity]]*Table1[[#This Row],[Unit_Price]]</f>
        <v>2763</v>
      </c>
    </row>
    <row r="128" spans="1:8" x14ac:dyDescent="0.3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  <c r="H128" s="3">
        <f>Table1[[#This Row],[Quantity]]*Table1[[#This Row],[Unit_Price]]</f>
        <v>2046</v>
      </c>
    </row>
    <row r="129" spans="1:8" x14ac:dyDescent="0.3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  <c r="H129" s="3">
        <f>Table1[[#This Row],[Quantity]]*Table1[[#This Row],[Unit_Price]]</f>
        <v>1632</v>
      </c>
    </row>
    <row r="130" spans="1:8" x14ac:dyDescent="0.3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  <c r="H130" s="3">
        <f>Table1[[#This Row],[Quantity]]*Table1[[#This Row],[Unit_Price]]</f>
        <v>705</v>
      </c>
    </row>
    <row r="131" spans="1:8" x14ac:dyDescent="0.3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  <c r="H131" s="3">
        <f>Table1[[#This Row],[Quantity]]*Table1[[#This Row],[Unit_Price]]</f>
        <v>1448</v>
      </c>
    </row>
    <row r="132" spans="1:8" x14ac:dyDescent="0.3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  <c r="H132" s="3">
        <f>Table1[[#This Row],[Quantity]]*Table1[[#This Row],[Unit_Price]]</f>
        <v>1586</v>
      </c>
    </row>
    <row r="133" spans="1:8" x14ac:dyDescent="0.3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  <c r="H133" s="3">
        <f>Table1[[#This Row],[Quantity]]*Table1[[#This Row],[Unit_Price]]</f>
        <v>1108</v>
      </c>
    </row>
    <row r="134" spans="1:8" x14ac:dyDescent="0.3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  <c r="H134" s="3">
        <f>Table1[[#This Row],[Quantity]]*Table1[[#This Row],[Unit_Price]]</f>
        <v>2972</v>
      </c>
    </row>
    <row r="135" spans="1:8" x14ac:dyDescent="0.3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  <c r="H135" s="3">
        <f>Table1[[#This Row],[Quantity]]*Table1[[#This Row],[Unit_Price]]</f>
        <v>579</v>
      </c>
    </row>
    <row r="136" spans="1:8" x14ac:dyDescent="0.3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  <c r="H136" s="3">
        <f>Table1[[#This Row],[Quantity]]*Table1[[#This Row],[Unit_Price]]</f>
        <v>851</v>
      </c>
    </row>
    <row r="137" spans="1:8" x14ac:dyDescent="0.3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  <c r="H137" s="3">
        <f>Table1[[#This Row],[Quantity]]*Table1[[#This Row],[Unit_Price]]</f>
        <v>2240</v>
      </c>
    </row>
    <row r="138" spans="1:8" x14ac:dyDescent="0.3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  <c r="H138" s="3">
        <f>Table1[[#This Row],[Quantity]]*Table1[[#This Row],[Unit_Price]]</f>
        <v>2079</v>
      </c>
    </row>
    <row r="139" spans="1:8" x14ac:dyDescent="0.3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  <c r="H139" s="3">
        <f>Table1[[#This Row],[Quantity]]*Table1[[#This Row],[Unit_Price]]</f>
        <v>1528</v>
      </c>
    </row>
    <row r="140" spans="1:8" x14ac:dyDescent="0.3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  <c r="H140" s="3">
        <f>Table1[[#This Row],[Quantity]]*Table1[[#This Row],[Unit_Price]]</f>
        <v>2395</v>
      </c>
    </row>
    <row r="141" spans="1:8" x14ac:dyDescent="0.3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  <c r="H141" s="3">
        <f>Table1[[#This Row],[Quantity]]*Table1[[#This Row],[Unit_Price]]</f>
        <v>2772</v>
      </c>
    </row>
    <row r="142" spans="1:8" x14ac:dyDescent="0.3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  <c r="H142" s="3">
        <f>Table1[[#This Row],[Quantity]]*Table1[[#This Row],[Unit_Price]]</f>
        <v>876</v>
      </c>
    </row>
    <row r="143" spans="1:8" x14ac:dyDescent="0.3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  <c r="H143" s="3">
        <f>Table1[[#This Row],[Quantity]]*Table1[[#This Row],[Unit_Price]]</f>
        <v>2465</v>
      </c>
    </row>
    <row r="144" spans="1:8" x14ac:dyDescent="0.3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  <c r="H144" s="3">
        <f>Table1[[#This Row],[Quantity]]*Table1[[#This Row],[Unit_Price]]</f>
        <v>1290</v>
      </c>
    </row>
    <row r="145" spans="1:8" x14ac:dyDescent="0.3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  <c r="H145" s="3">
        <f>Table1[[#This Row],[Quantity]]*Table1[[#This Row],[Unit_Price]]</f>
        <v>5957</v>
      </c>
    </row>
    <row r="146" spans="1:8" x14ac:dyDescent="0.3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  <c r="H146" s="3">
        <f>Table1[[#This Row],[Quantity]]*Table1[[#This Row],[Unit_Price]]</f>
        <v>3976</v>
      </c>
    </row>
    <row r="147" spans="1:8" x14ac:dyDescent="0.3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  <c r="H147" s="3">
        <f>Table1[[#This Row],[Quantity]]*Table1[[#This Row],[Unit_Price]]</f>
        <v>1444</v>
      </c>
    </row>
    <row r="148" spans="1:8" x14ac:dyDescent="0.3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  <c r="H148" s="3">
        <f>Table1[[#This Row],[Quantity]]*Table1[[#This Row],[Unit_Price]]</f>
        <v>996</v>
      </c>
    </row>
    <row r="149" spans="1:8" x14ac:dyDescent="0.3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  <c r="H149" s="3">
        <f>Table1[[#This Row],[Quantity]]*Table1[[#This Row],[Unit_Price]]</f>
        <v>450</v>
      </c>
    </row>
    <row r="150" spans="1:8" x14ac:dyDescent="0.3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  <c r="H150" s="3">
        <f>Table1[[#This Row],[Quantity]]*Table1[[#This Row],[Unit_Price]]</f>
        <v>1312</v>
      </c>
    </row>
    <row r="151" spans="1:8" x14ac:dyDescent="0.3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  <c r="H151" s="3">
        <f>Table1[[#This Row],[Quantity]]*Table1[[#This Row],[Unit_Price]]</f>
        <v>3460</v>
      </c>
    </row>
    <row r="152" spans="1:8" x14ac:dyDescent="0.3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  <c r="H152" s="3">
        <f>Table1[[#This Row],[Quantity]]*Table1[[#This Row],[Unit_Price]]</f>
        <v>2133</v>
      </c>
    </row>
    <row r="153" spans="1:8" x14ac:dyDescent="0.3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  <c r="H153" s="3">
        <f>Table1[[#This Row],[Quantity]]*Table1[[#This Row],[Unit_Price]]</f>
        <v>2628</v>
      </c>
    </row>
    <row r="154" spans="1:8" x14ac:dyDescent="0.3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  <c r="H154" s="3">
        <f>Table1[[#This Row],[Quantity]]*Table1[[#This Row],[Unit_Price]]</f>
        <v>2112</v>
      </c>
    </row>
    <row r="155" spans="1:8" x14ac:dyDescent="0.3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  <c r="H155" s="3">
        <f>Table1[[#This Row],[Quantity]]*Table1[[#This Row],[Unit_Price]]</f>
        <v>5033</v>
      </c>
    </row>
    <row r="156" spans="1:8" x14ac:dyDescent="0.3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  <c r="H156" s="3">
        <f>Table1[[#This Row],[Quantity]]*Table1[[#This Row],[Unit_Price]]</f>
        <v>1035</v>
      </c>
    </row>
    <row r="157" spans="1:8" x14ac:dyDescent="0.3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  <c r="H157" s="3">
        <f>Table1[[#This Row],[Quantity]]*Table1[[#This Row],[Unit_Price]]</f>
        <v>1897</v>
      </c>
    </row>
    <row r="158" spans="1:8" x14ac:dyDescent="0.3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  <c r="H158" s="3">
        <f>Table1[[#This Row],[Quantity]]*Table1[[#This Row],[Unit_Price]]</f>
        <v>5019</v>
      </c>
    </row>
    <row r="159" spans="1:8" x14ac:dyDescent="0.3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  <c r="H159" s="3">
        <f>Table1[[#This Row],[Quantity]]*Table1[[#This Row],[Unit_Price]]</f>
        <v>725</v>
      </c>
    </row>
    <row r="160" spans="1:8" x14ac:dyDescent="0.3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  <c r="H160" s="3">
        <f>Table1[[#This Row],[Quantity]]*Table1[[#This Row],[Unit_Price]]</f>
        <v>1638</v>
      </c>
    </row>
    <row r="161" spans="1:8" x14ac:dyDescent="0.3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  <c r="H161" s="3">
        <f>Table1[[#This Row],[Quantity]]*Table1[[#This Row],[Unit_Price]]</f>
        <v>5112</v>
      </c>
    </row>
    <row r="162" spans="1:8" x14ac:dyDescent="0.3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  <c r="H162" s="3">
        <f>Table1[[#This Row],[Quantity]]*Table1[[#This Row],[Unit_Price]]</f>
        <v>5940</v>
      </c>
    </row>
    <row r="163" spans="1:8" x14ac:dyDescent="0.3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  <c r="H163" s="3">
        <f>Table1[[#This Row],[Quantity]]*Table1[[#This Row],[Unit_Price]]</f>
        <v>2376</v>
      </c>
    </row>
    <row r="164" spans="1:8" x14ac:dyDescent="0.3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  <c r="H164" s="3">
        <f>Table1[[#This Row],[Quantity]]*Table1[[#This Row],[Unit_Price]]</f>
        <v>4744</v>
      </c>
    </row>
    <row r="165" spans="1:8" x14ac:dyDescent="0.3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  <c r="H165" s="3">
        <f>Table1[[#This Row],[Quantity]]*Table1[[#This Row],[Unit_Price]]</f>
        <v>5536</v>
      </c>
    </row>
    <row r="166" spans="1:8" x14ac:dyDescent="0.3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  <c r="H166" s="3">
        <f>Table1[[#This Row],[Quantity]]*Table1[[#This Row],[Unit_Price]]</f>
        <v>4056</v>
      </c>
    </row>
    <row r="167" spans="1:8" x14ac:dyDescent="0.3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  <c r="H167" s="3">
        <f>Table1[[#This Row],[Quantity]]*Table1[[#This Row],[Unit_Price]]</f>
        <v>681</v>
      </c>
    </row>
    <row r="168" spans="1:8" x14ac:dyDescent="0.3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  <c r="H168" s="3">
        <f>Table1[[#This Row],[Quantity]]*Table1[[#This Row],[Unit_Price]]</f>
        <v>590</v>
      </c>
    </row>
    <row r="169" spans="1:8" x14ac:dyDescent="0.3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  <c r="H169" s="3">
        <f>Table1[[#This Row],[Quantity]]*Table1[[#This Row],[Unit_Price]]</f>
        <v>2790</v>
      </c>
    </row>
    <row r="170" spans="1:8" x14ac:dyDescent="0.3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  <c r="H170" s="3">
        <f>Table1[[#This Row],[Quantity]]*Table1[[#This Row],[Unit_Price]]</f>
        <v>787</v>
      </c>
    </row>
    <row r="171" spans="1:8" x14ac:dyDescent="0.3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  <c r="H171" s="3">
        <f>Table1[[#This Row],[Quantity]]*Table1[[#This Row],[Unit_Price]]</f>
        <v>1230</v>
      </c>
    </row>
    <row r="172" spans="1:8" x14ac:dyDescent="0.3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  <c r="H172" s="3">
        <f>Table1[[#This Row],[Quantity]]*Table1[[#This Row],[Unit_Price]]</f>
        <v>296</v>
      </c>
    </row>
    <row r="173" spans="1:8" x14ac:dyDescent="0.3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  <c r="H173" s="3">
        <f>Table1[[#This Row],[Quantity]]*Table1[[#This Row],[Unit_Price]]</f>
        <v>139</v>
      </c>
    </row>
    <row r="174" spans="1:8" x14ac:dyDescent="0.3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  <c r="H174" s="3">
        <f>Table1[[#This Row],[Quantity]]*Table1[[#This Row],[Unit_Price]]</f>
        <v>1690</v>
      </c>
    </row>
    <row r="175" spans="1:8" x14ac:dyDescent="0.3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  <c r="H175" s="3">
        <f>Table1[[#This Row],[Quantity]]*Table1[[#This Row],[Unit_Price]]</f>
        <v>117</v>
      </c>
    </row>
    <row r="176" spans="1:8" x14ac:dyDescent="0.3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  <c r="H176" s="3">
        <f>Table1[[#This Row],[Quantity]]*Table1[[#This Row],[Unit_Price]]</f>
        <v>2597</v>
      </c>
    </row>
    <row r="177" spans="1:8" x14ac:dyDescent="0.3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  <c r="H177" s="3">
        <f>Table1[[#This Row],[Quantity]]*Table1[[#This Row],[Unit_Price]]</f>
        <v>1200</v>
      </c>
    </row>
    <row r="178" spans="1:8" x14ac:dyDescent="0.3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  <c r="H178" s="3">
        <f>Table1[[#This Row],[Quantity]]*Table1[[#This Row],[Unit_Price]]</f>
        <v>2244</v>
      </c>
    </row>
    <row r="179" spans="1:8" x14ac:dyDescent="0.3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  <c r="H179" s="3">
        <f>Table1[[#This Row],[Quantity]]*Table1[[#This Row],[Unit_Price]]</f>
        <v>798</v>
      </c>
    </row>
    <row r="180" spans="1:8" x14ac:dyDescent="0.3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  <c r="H180" s="3">
        <f>Table1[[#This Row],[Quantity]]*Table1[[#This Row],[Unit_Price]]</f>
        <v>3610</v>
      </c>
    </row>
    <row r="181" spans="1:8" x14ac:dyDescent="0.3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  <c r="H181" s="3">
        <f>Table1[[#This Row],[Quantity]]*Table1[[#This Row],[Unit_Price]]</f>
        <v>408</v>
      </c>
    </row>
    <row r="182" spans="1:8" x14ac:dyDescent="0.3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  <c r="H182" s="3">
        <f>Table1[[#This Row],[Quantity]]*Table1[[#This Row],[Unit_Price]]</f>
        <v>2016</v>
      </c>
    </row>
    <row r="183" spans="1:8" x14ac:dyDescent="0.3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  <c r="H183" s="3">
        <f>Table1[[#This Row],[Quantity]]*Table1[[#This Row],[Unit_Price]]</f>
        <v>1854</v>
      </c>
    </row>
    <row r="184" spans="1:8" x14ac:dyDescent="0.3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  <c r="H184" s="3">
        <f>Table1[[#This Row],[Quantity]]*Table1[[#This Row],[Unit_Price]]</f>
        <v>2768</v>
      </c>
    </row>
    <row r="185" spans="1:8" x14ac:dyDescent="0.3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  <c r="H185" s="3">
        <f>Table1[[#This Row],[Quantity]]*Table1[[#This Row],[Unit_Price]]</f>
        <v>400</v>
      </c>
    </row>
    <row r="186" spans="1:8" x14ac:dyDescent="0.3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  <c r="H186" s="3">
        <f>Table1[[#This Row],[Quantity]]*Table1[[#This Row],[Unit_Price]]</f>
        <v>818</v>
      </c>
    </row>
    <row r="187" spans="1:8" x14ac:dyDescent="0.3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  <c r="H187" s="3">
        <f>Table1[[#This Row],[Quantity]]*Table1[[#This Row],[Unit_Price]]</f>
        <v>324</v>
      </c>
    </row>
    <row r="188" spans="1:8" x14ac:dyDescent="0.3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  <c r="H188" s="3">
        <f>Table1[[#This Row],[Quantity]]*Table1[[#This Row],[Unit_Price]]</f>
        <v>2793</v>
      </c>
    </row>
    <row r="189" spans="1:8" x14ac:dyDescent="0.3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  <c r="H189" s="3">
        <f>Table1[[#This Row],[Quantity]]*Table1[[#This Row],[Unit_Price]]</f>
        <v>8900</v>
      </c>
    </row>
    <row r="190" spans="1:8" x14ac:dyDescent="0.3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  <c r="H190" s="3">
        <f>Table1[[#This Row],[Quantity]]*Table1[[#This Row],[Unit_Price]]</f>
        <v>2375</v>
      </c>
    </row>
    <row r="191" spans="1:8" x14ac:dyDescent="0.3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  <c r="H191" s="3">
        <f>Table1[[#This Row],[Quantity]]*Table1[[#This Row],[Unit_Price]]</f>
        <v>5640</v>
      </c>
    </row>
    <row r="192" spans="1:8" x14ac:dyDescent="0.3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  <c r="H192" s="3">
        <f>Table1[[#This Row],[Quantity]]*Table1[[#This Row],[Unit_Price]]</f>
        <v>5800</v>
      </c>
    </row>
    <row r="193" spans="1:8" x14ac:dyDescent="0.3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  <c r="H193" s="3">
        <f>Table1[[#This Row],[Quantity]]*Table1[[#This Row],[Unit_Price]]</f>
        <v>2772</v>
      </c>
    </row>
    <row r="194" spans="1:8" x14ac:dyDescent="0.3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  <c r="H194" s="3">
        <f>Table1[[#This Row],[Quantity]]*Table1[[#This Row],[Unit_Price]]</f>
        <v>1631</v>
      </c>
    </row>
    <row r="195" spans="1:8" x14ac:dyDescent="0.3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  <c r="H195" s="3">
        <f>Table1[[#This Row],[Quantity]]*Table1[[#This Row],[Unit_Price]]</f>
        <v>1310</v>
      </c>
    </row>
    <row r="196" spans="1:8" x14ac:dyDescent="0.3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  <c r="H196" s="3">
        <f>Table1[[#This Row],[Quantity]]*Table1[[#This Row],[Unit_Price]]</f>
        <v>2040</v>
      </c>
    </row>
    <row r="197" spans="1:8" x14ac:dyDescent="0.3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  <c r="H197" s="3">
        <f>Table1[[#This Row],[Quantity]]*Table1[[#This Row],[Unit_Price]]</f>
        <v>490</v>
      </c>
    </row>
    <row r="198" spans="1:8" x14ac:dyDescent="0.3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  <c r="H198" s="3">
        <f>Table1[[#This Row],[Quantity]]*Table1[[#This Row],[Unit_Price]]</f>
        <v>750</v>
      </c>
    </row>
    <row r="199" spans="1:8" x14ac:dyDescent="0.3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  <c r="H199" s="3">
        <f>Table1[[#This Row],[Quantity]]*Table1[[#This Row],[Unit_Price]]</f>
        <v>1452</v>
      </c>
    </row>
    <row r="200" spans="1:8" x14ac:dyDescent="0.3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  <c r="H200" s="3">
        <f>Table1[[#This Row],[Quantity]]*Table1[[#This Row],[Unit_Price]]</f>
        <v>3055</v>
      </c>
    </row>
    <row r="201" spans="1:8" x14ac:dyDescent="0.3">
      <c r="A201" s="7" t="s">
        <v>242</v>
      </c>
      <c r="B201" s="8">
        <v>45658</v>
      </c>
      <c r="C201" s="9" t="s">
        <v>47</v>
      </c>
      <c r="D201" s="9" t="s">
        <v>52</v>
      </c>
      <c r="E201" s="9" t="s">
        <v>40</v>
      </c>
      <c r="F201" s="9">
        <v>2</v>
      </c>
      <c r="G201" s="10">
        <v>636</v>
      </c>
      <c r="H201" s="9">
        <f>Table1[[#This Row],[Quantity]]*Table1[[#This Row],[Unit_Price]]</f>
        <v>1272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669F-76B5-40B0-8954-12E267A7B2C7}">
  <dimension ref="A1:H15"/>
  <sheetViews>
    <sheetView zoomScaleNormal="100"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9.6640625" bestFit="1" customWidth="1"/>
    <col min="4" max="5" width="12.5546875" bestFit="1" customWidth="1"/>
    <col min="6" max="6" width="19.6640625" bestFit="1" customWidth="1"/>
  </cols>
  <sheetData>
    <row r="1" spans="1:8" ht="23.4" x14ac:dyDescent="0.45">
      <c r="A1" s="18" t="s">
        <v>246</v>
      </c>
      <c r="B1" s="18"/>
      <c r="C1" s="18"/>
      <c r="D1" s="18"/>
      <c r="E1" s="18"/>
      <c r="F1" s="18"/>
      <c r="G1" s="18"/>
      <c r="H1" s="18"/>
    </row>
    <row r="3" spans="1:8" x14ac:dyDescent="0.3">
      <c r="A3" s="15" t="s">
        <v>26</v>
      </c>
      <c r="B3" t="s">
        <v>245</v>
      </c>
      <c r="E3" s="15" t="s">
        <v>24</v>
      </c>
      <c r="F3" t="s">
        <v>245</v>
      </c>
    </row>
    <row r="4" spans="1:8" x14ac:dyDescent="0.3">
      <c r="A4" s="17" t="s">
        <v>40</v>
      </c>
      <c r="B4" s="16">
        <v>227030</v>
      </c>
      <c r="E4" s="17" t="s">
        <v>47</v>
      </c>
      <c r="F4" s="16">
        <v>116463</v>
      </c>
    </row>
    <row r="5" spans="1:8" x14ac:dyDescent="0.3">
      <c r="A5" s="17" t="s">
        <v>36</v>
      </c>
      <c r="B5" s="16">
        <v>90635</v>
      </c>
      <c r="E5" s="17" t="s">
        <v>34</v>
      </c>
      <c r="F5" s="16">
        <v>104808</v>
      </c>
    </row>
    <row r="6" spans="1:8" x14ac:dyDescent="0.3">
      <c r="A6" s="17" t="s">
        <v>32</v>
      </c>
      <c r="B6" s="16">
        <v>129121</v>
      </c>
      <c r="E6" s="17" t="s">
        <v>30</v>
      </c>
      <c r="F6" s="16">
        <v>108472</v>
      </c>
    </row>
    <row r="7" spans="1:8" x14ac:dyDescent="0.3">
      <c r="A7" s="17" t="s">
        <v>244</v>
      </c>
      <c r="B7" s="16">
        <v>446786</v>
      </c>
      <c r="E7" s="17" t="s">
        <v>51</v>
      </c>
      <c r="F7" s="16">
        <v>117043</v>
      </c>
    </row>
    <row r="8" spans="1:8" x14ac:dyDescent="0.3">
      <c r="E8" s="17" t="s">
        <v>244</v>
      </c>
      <c r="F8" s="16">
        <v>446786</v>
      </c>
    </row>
    <row r="9" spans="1:8" x14ac:dyDescent="0.3">
      <c r="A9" s="15" t="s">
        <v>25</v>
      </c>
      <c r="B9" t="s">
        <v>245</v>
      </c>
    </row>
    <row r="10" spans="1:8" x14ac:dyDescent="0.3">
      <c r="A10" s="17" t="s">
        <v>35</v>
      </c>
      <c r="B10" s="16">
        <v>90635</v>
      </c>
    </row>
    <row r="11" spans="1:8" x14ac:dyDescent="0.3">
      <c r="A11" s="17" t="s">
        <v>49</v>
      </c>
      <c r="B11" s="16">
        <v>64187</v>
      </c>
    </row>
    <row r="12" spans="1:8" x14ac:dyDescent="0.3">
      <c r="A12" s="17" t="s">
        <v>39</v>
      </c>
      <c r="B12" s="16">
        <v>53108</v>
      </c>
    </row>
    <row r="13" spans="1:8" x14ac:dyDescent="0.3">
      <c r="A13" s="17" t="s">
        <v>52</v>
      </c>
      <c r="B13" s="16">
        <v>66018</v>
      </c>
    </row>
    <row r="14" spans="1:8" x14ac:dyDescent="0.3">
      <c r="A14" s="17" t="s">
        <v>31</v>
      </c>
      <c r="B14" s="16">
        <v>78975</v>
      </c>
    </row>
    <row r="15" spans="1:8" x14ac:dyDescent="0.3">
      <c r="A15" s="17" t="s">
        <v>244</v>
      </c>
      <c r="B15" s="16">
        <v>352923</v>
      </c>
    </row>
  </sheetData>
  <mergeCells count="1">
    <mergeCell ref="A1:H1"/>
  </mergeCells>
  <conditionalFormatting pivot="1" sqref="B10">
    <cfRule type="top10" dxfId="4" priority="6" rank="5"/>
  </conditionalFormatting>
  <conditionalFormatting pivot="1" sqref="B11">
    <cfRule type="top10" dxfId="3" priority="5" rank="5"/>
  </conditionalFormatting>
  <conditionalFormatting pivot="1" sqref="B12">
    <cfRule type="top10" dxfId="2" priority="4" rank="5"/>
  </conditionalFormatting>
  <conditionalFormatting pivot="1" sqref="B13">
    <cfRule type="top10" dxfId="1" priority="3" rank="5"/>
  </conditionalFormatting>
  <conditionalFormatting pivot="1" sqref="B14">
    <cfRule type="top10" dxfId="0" priority="2" rank="5"/>
  </conditionalFormatting>
  <conditionalFormatting pivot="1" sqref="F4:F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{D072DAC9-D6A8-4D2C-8A5A-F8AB3445548E}</x14:id>
        </ext>
      </extLst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072DAC9-D6A8-4D2C-8A5A-F8AB34455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Challenge_Instructions</vt:lpstr>
      <vt:lpstr>Sales_Data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sridevigiduthuri97@gmail.com</cp:lastModifiedBy>
  <dcterms:created xsi:type="dcterms:W3CDTF">2026-03-15T14:12:48Z</dcterms:created>
  <dcterms:modified xsi:type="dcterms:W3CDTF">2026-03-16T15:20:18Z</dcterms:modified>
</cp:coreProperties>
</file>